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ani/Desktop/Diplomarbeit Kastenfenster/03_Fallstudie/3.3 Validierung/"/>
    </mc:Choice>
  </mc:AlternateContent>
  <xr:revisionPtr revIDLastSave="0" documentId="13_ncr:1_{5C837421-4EC7-B447-B300-63ADEC4C0A1F}" xr6:coauthVersionLast="47" xr6:coauthVersionMax="47" xr10:uidLastSave="{00000000-0000-0000-0000-000000000000}"/>
  <bookViews>
    <workbookView xWindow="0" yWindow="0" windowWidth="44800" windowHeight="25200" activeTab="8" xr2:uid="{9CFC3F76-06A1-114F-B592-8190854B6F3E}"/>
  </bookViews>
  <sheets>
    <sheet name="A_Ka-Fe-Ro-Bu" sheetId="7" r:id="rId1"/>
    <sheet name="B_Bu-Ka-Ne-Ro" sheetId="1" r:id="rId2"/>
    <sheet name="C_Va-Bu-Le-Que" sheetId="4" r:id="rId3"/>
    <sheet name="D_Schrö-Le-Si-In" sheetId="5" r:id="rId4"/>
    <sheet name="E_Mu-Co-An-In" sheetId="2" r:id="rId5"/>
    <sheet name="F_Re-Pu-Wa-La" sheetId="3" r:id="rId6"/>
    <sheet name="G_La-La-Ja-Da" sheetId="6" r:id="rId7"/>
    <sheet name="GESAMTBILANZ" sheetId="9" r:id="rId8"/>
    <sheet name="Fehler" sheetId="10" r:id="rId9"/>
  </sheets>
  <definedNames>
    <definedName name="_xlnm.Print_Area" localSheetId="0">'A_Ka-Fe-Ro-Bu'!$A$1:$AB$109</definedName>
    <definedName name="_xlnm.Print_Area" localSheetId="1">'B_Bu-Ka-Ne-Ro'!$A$1:$AB$140</definedName>
    <definedName name="_xlnm.Print_Area" localSheetId="2">'C_Va-Bu-Le-Que'!$A$1:$AB$98</definedName>
    <definedName name="_xlnm.Print_Area" localSheetId="3">'D_Schrö-Le-Si-In'!$A$1:$AB$126</definedName>
    <definedName name="_xlnm.Print_Area" localSheetId="4">'E_Mu-Co-An-In'!$A$1:$AB$96</definedName>
    <definedName name="_xlnm.Print_Area" localSheetId="5">'F_Re-Pu-Wa-La'!$A$1:$AB$124</definedName>
    <definedName name="_xlnm.Print_Area" localSheetId="6">'G_La-La-Ja-Da'!$A$1:$AB$149</definedName>
    <definedName name="_xlnm.Print_Area" localSheetId="7">GESAMTBILANZ!$A$1:$J$44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7" i="10" l="1"/>
  <c r="T6" i="7"/>
  <c r="Y6" i="7"/>
  <c r="T7" i="7"/>
  <c r="Y7" i="7"/>
  <c r="T8" i="7"/>
  <c r="Y8" i="7"/>
  <c r="T9" i="7"/>
  <c r="Y9" i="7"/>
  <c r="T10" i="7"/>
  <c r="Y10" i="7"/>
  <c r="T11" i="7"/>
  <c r="Y11" i="7"/>
  <c r="T12" i="7"/>
  <c r="Y12" i="7"/>
  <c r="T13" i="7"/>
  <c r="Y13" i="7"/>
  <c r="U14" i="7"/>
  <c r="V14" i="7"/>
  <c r="Z14" i="7"/>
  <c r="AA14" i="7"/>
  <c r="J20" i="7"/>
  <c r="O20" i="7"/>
  <c r="J21" i="7"/>
  <c r="O21" i="7"/>
  <c r="J22" i="7"/>
  <c r="O22" i="7"/>
  <c r="J23" i="7"/>
  <c r="O23" i="7"/>
  <c r="J24" i="7"/>
  <c r="O24" i="7"/>
  <c r="J25" i="7"/>
  <c r="O25" i="7"/>
  <c r="J26" i="7"/>
  <c r="O26" i="7"/>
  <c r="J27" i="7"/>
  <c r="O27" i="7"/>
  <c r="K28" i="7"/>
  <c r="L28" i="7"/>
  <c r="P28" i="7"/>
  <c r="Q28" i="7"/>
  <c r="J7" i="1"/>
  <c r="O7" i="1"/>
  <c r="G8" i="1"/>
  <c r="J8" i="1"/>
  <c r="O8" i="1"/>
  <c r="J9" i="1"/>
  <c r="O9" i="1"/>
  <c r="J10" i="1"/>
  <c r="O10" i="1"/>
  <c r="J11" i="1"/>
  <c r="O11" i="1"/>
  <c r="J12" i="1"/>
  <c r="O12" i="1"/>
  <c r="G13" i="1"/>
  <c r="J13" i="1"/>
  <c r="O13" i="1"/>
  <c r="J14" i="1"/>
  <c r="O14" i="1"/>
  <c r="K15" i="1"/>
  <c r="L15" i="1"/>
  <c r="P15" i="1"/>
  <c r="E12" i="1" s="1"/>
  <c r="Q15" i="1"/>
  <c r="F12" i="1" s="1"/>
  <c r="F14" i="1" s="1"/>
  <c r="J21" i="1"/>
  <c r="O21" i="1"/>
  <c r="G22" i="1"/>
  <c r="O22" i="1"/>
  <c r="J23" i="1"/>
  <c r="O23" i="1"/>
  <c r="J24" i="1"/>
  <c r="O24" i="1"/>
  <c r="J25" i="1"/>
  <c r="O25" i="1"/>
  <c r="J26" i="1"/>
  <c r="O26" i="1"/>
  <c r="G27" i="1"/>
  <c r="J27" i="1"/>
  <c r="O27" i="1"/>
  <c r="J28" i="1"/>
  <c r="O28" i="1"/>
  <c r="K29" i="1"/>
  <c r="E26" i="1" s="1"/>
  <c r="L29" i="1"/>
  <c r="F26" i="1" s="1"/>
  <c r="F28" i="1" s="1"/>
  <c r="P29" i="1"/>
  <c r="Q29" i="1"/>
  <c r="J35" i="1"/>
  <c r="O35" i="1"/>
  <c r="T35" i="1"/>
  <c r="J36" i="1"/>
  <c r="O36" i="1"/>
  <c r="T36" i="1"/>
  <c r="J37" i="1"/>
  <c r="O37" i="1"/>
  <c r="T37" i="1"/>
  <c r="J38" i="1"/>
  <c r="O38" i="1"/>
  <c r="T38" i="1"/>
  <c r="J39" i="1"/>
  <c r="O39" i="1"/>
  <c r="T39" i="1"/>
  <c r="J40" i="1"/>
  <c r="O40" i="1"/>
  <c r="T40" i="1"/>
  <c r="G41" i="1"/>
  <c r="J41" i="1"/>
  <c r="O41" i="1"/>
  <c r="T41" i="1"/>
  <c r="J42" i="1"/>
  <c r="O42" i="1"/>
  <c r="T42" i="1"/>
  <c r="K43" i="1"/>
  <c r="L43" i="1"/>
  <c r="P43" i="1"/>
  <c r="Q43" i="1"/>
  <c r="U43" i="1"/>
  <c r="V43" i="1"/>
  <c r="J49" i="1"/>
  <c r="O49" i="1"/>
  <c r="G50" i="1"/>
  <c r="J50" i="1"/>
  <c r="O50" i="1"/>
  <c r="J51" i="1"/>
  <c r="O51" i="1"/>
  <c r="J52" i="1"/>
  <c r="O52" i="1"/>
  <c r="J53" i="1"/>
  <c r="O53" i="1"/>
  <c r="J54" i="1"/>
  <c r="O54" i="1"/>
  <c r="G55" i="1"/>
  <c r="J55" i="1"/>
  <c r="O55" i="1"/>
  <c r="J56" i="1"/>
  <c r="O56" i="1"/>
  <c r="K57" i="1"/>
  <c r="L57" i="1"/>
  <c r="P57" i="1"/>
  <c r="E54" i="1" s="1"/>
  <c r="Q57" i="1"/>
  <c r="F54" i="1" s="1"/>
  <c r="F56" i="1" s="1"/>
  <c r="J63" i="1"/>
  <c r="O63" i="1"/>
  <c r="G64" i="1"/>
  <c r="J64" i="1"/>
  <c r="O64" i="1"/>
  <c r="J65" i="1"/>
  <c r="O65" i="1"/>
  <c r="J66" i="1"/>
  <c r="O66" i="1"/>
  <c r="J67" i="1"/>
  <c r="O67" i="1"/>
  <c r="J68" i="1"/>
  <c r="O68" i="1"/>
  <c r="G69" i="1"/>
  <c r="J69" i="1"/>
  <c r="O69" i="1"/>
  <c r="J70" i="1"/>
  <c r="O70" i="1"/>
  <c r="K71" i="1"/>
  <c r="L71" i="1"/>
  <c r="P71" i="1"/>
  <c r="E68" i="1" s="1"/>
  <c r="Q71" i="1"/>
  <c r="F68" i="1" s="1"/>
  <c r="F70" i="1" s="1"/>
  <c r="J77" i="1"/>
  <c r="O77" i="1"/>
  <c r="G78" i="1"/>
  <c r="J78" i="1"/>
  <c r="O78" i="1"/>
  <c r="J79" i="1"/>
  <c r="O79" i="1"/>
  <c r="J80" i="1"/>
  <c r="O80" i="1"/>
  <c r="J81" i="1"/>
  <c r="O81" i="1"/>
  <c r="J82" i="1"/>
  <c r="O82" i="1"/>
  <c r="G83" i="1"/>
  <c r="J83" i="1"/>
  <c r="O83" i="1"/>
  <c r="J84" i="1"/>
  <c r="O84" i="1"/>
  <c r="K85" i="1"/>
  <c r="L85" i="1"/>
  <c r="P85" i="1"/>
  <c r="E82" i="1" s="1"/>
  <c r="Q85" i="1"/>
  <c r="F82" i="1" s="1"/>
  <c r="F84" i="1" s="1"/>
  <c r="G42" i="9"/>
  <c r="G43" i="9" s="1"/>
  <c r="H38" i="9"/>
  <c r="H42" i="9"/>
  <c r="I41" i="9"/>
  <c r="H41" i="9"/>
  <c r="G41" i="9"/>
  <c r="H43" i="9"/>
  <c r="I38" i="9"/>
  <c r="G38" i="9"/>
  <c r="I37" i="9"/>
  <c r="G37" i="9"/>
  <c r="H37" i="9"/>
  <c r="H36" i="9"/>
  <c r="I36" i="9"/>
  <c r="G36" i="9"/>
  <c r="E147" i="6"/>
  <c r="F147" i="6"/>
  <c r="E142" i="6"/>
  <c r="F142" i="6"/>
  <c r="E122" i="3"/>
  <c r="F122" i="3"/>
  <c r="E117" i="3"/>
  <c r="F117" i="3"/>
  <c r="E94" i="2"/>
  <c r="F94" i="2"/>
  <c r="E89" i="2"/>
  <c r="F89" i="2"/>
  <c r="F124" i="5"/>
  <c r="E124" i="5"/>
  <c r="E119" i="5"/>
  <c r="F119" i="5"/>
  <c r="F96" i="4"/>
  <c r="E96" i="4"/>
  <c r="E91" i="4"/>
  <c r="F91" i="4"/>
  <c r="F138" i="1"/>
  <c r="F133" i="1"/>
  <c r="E133" i="1"/>
  <c r="E138" i="1"/>
  <c r="F107" i="7"/>
  <c r="E107" i="7"/>
  <c r="F102" i="7"/>
  <c r="E102" i="7"/>
  <c r="G92" i="5"/>
  <c r="G108" i="6"/>
  <c r="G94" i="6"/>
  <c r="G103" i="6"/>
  <c r="G75" i="6"/>
  <c r="G80" i="6"/>
  <c r="G12" i="6"/>
  <c r="G135" i="6"/>
  <c r="G53" i="6"/>
  <c r="G26" i="6"/>
  <c r="G21" i="6"/>
  <c r="G81" i="3"/>
  <c r="G95" i="3"/>
  <c r="G109" i="3"/>
  <c r="G40" i="3"/>
  <c r="G54" i="3"/>
  <c r="G13" i="3"/>
  <c r="Q29" i="2"/>
  <c r="L29" i="2"/>
  <c r="G13" i="2"/>
  <c r="G82" i="2"/>
  <c r="G41" i="2"/>
  <c r="G83" i="5"/>
  <c r="G97" i="5"/>
  <c r="G111" i="5"/>
  <c r="G41" i="5"/>
  <c r="G27" i="5"/>
  <c r="L57" i="5"/>
  <c r="G55" i="5"/>
  <c r="G69" i="5"/>
  <c r="G8" i="5"/>
  <c r="G13" i="5"/>
  <c r="G27" i="4"/>
  <c r="G13" i="4"/>
  <c r="G83" i="4"/>
  <c r="G69" i="4"/>
  <c r="G64" i="4"/>
  <c r="G50" i="4"/>
  <c r="G55" i="4"/>
  <c r="V127" i="1"/>
  <c r="G97" i="1"/>
  <c r="Q99" i="1"/>
  <c r="AA99" i="1"/>
  <c r="Z99" i="1"/>
  <c r="V99" i="1"/>
  <c r="U99" i="1"/>
  <c r="P99" i="1"/>
  <c r="L99" i="1"/>
  <c r="K99" i="1"/>
  <c r="G92" i="1"/>
  <c r="T99" i="1"/>
  <c r="O99" i="1"/>
  <c r="J99" i="1"/>
  <c r="G125" i="1"/>
  <c r="G120" i="1"/>
  <c r="Y125" i="1"/>
  <c r="Y127" i="1" s="1"/>
  <c r="T125" i="1"/>
  <c r="T127" i="1" s="1"/>
  <c r="O125" i="1"/>
  <c r="O127" i="1" s="1"/>
  <c r="AA127" i="1"/>
  <c r="Z127" i="1"/>
  <c r="U127" i="1"/>
  <c r="Q127" i="1"/>
  <c r="P127" i="1"/>
  <c r="L127" i="1"/>
  <c r="K127" i="1"/>
  <c r="J125" i="1"/>
  <c r="J127" i="1" s="1"/>
  <c r="G111" i="1"/>
  <c r="T14" i="7" l="1"/>
  <c r="Y14" i="7"/>
  <c r="J28" i="7"/>
  <c r="O28" i="7"/>
  <c r="G147" i="6"/>
  <c r="G142" i="6"/>
  <c r="G94" i="2"/>
  <c r="G89" i="2"/>
  <c r="G124" i="5"/>
  <c r="G91" i="4"/>
  <c r="G107" i="7"/>
  <c r="E96" i="1"/>
  <c r="F49" i="1"/>
  <c r="F51" i="1" s="1"/>
  <c r="F35" i="1"/>
  <c r="F37" i="1" s="1"/>
  <c r="E7" i="1"/>
  <c r="F77" i="1"/>
  <c r="F79" i="1" s="1"/>
  <c r="J71" i="1"/>
  <c r="J29" i="1"/>
  <c r="J15" i="1"/>
  <c r="J85" i="1"/>
  <c r="J57" i="1"/>
  <c r="O29" i="1"/>
  <c r="F63" i="1"/>
  <c r="F65" i="1" s="1"/>
  <c r="E49" i="1"/>
  <c r="E35" i="1"/>
  <c r="O43" i="1"/>
  <c r="T43" i="1"/>
  <c r="F124" i="1"/>
  <c r="F126" i="1" s="1"/>
  <c r="E63" i="1"/>
  <c r="O57" i="1"/>
  <c r="O85" i="1"/>
  <c r="O71" i="1"/>
  <c r="F7" i="1"/>
  <c r="F9" i="1" s="1"/>
  <c r="G68" i="1"/>
  <c r="G70" i="1" s="1"/>
  <c r="F40" i="1"/>
  <c r="F42" i="1" s="1"/>
  <c r="J43" i="1"/>
  <c r="O15" i="1"/>
  <c r="G82" i="1"/>
  <c r="G84" i="1" s="1"/>
  <c r="G12" i="1"/>
  <c r="G14" i="1" s="1"/>
  <c r="G54" i="1"/>
  <c r="G56" i="1" s="1"/>
  <c r="G26" i="1"/>
  <c r="G28" i="1" s="1"/>
  <c r="E40" i="1"/>
  <c r="E77" i="1"/>
  <c r="F21" i="1"/>
  <c r="F23" i="1" s="1"/>
  <c r="E21" i="1"/>
  <c r="G133" i="1"/>
  <c r="G138" i="1"/>
  <c r="G102" i="7"/>
  <c r="I42" i="9"/>
  <c r="I43" i="9" s="1"/>
  <c r="G122" i="3"/>
  <c r="G117" i="3"/>
  <c r="G119" i="5"/>
  <c r="F96" i="1"/>
  <c r="F98" i="1" s="1"/>
  <c r="E91" i="1"/>
  <c r="E119" i="1"/>
  <c r="E124" i="1"/>
  <c r="F119" i="1"/>
  <c r="F121" i="1" s="1"/>
  <c r="F91" i="1"/>
  <c r="F93" i="1" s="1"/>
  <c r="Y99" i="1"/>
  <c r="G12" i="7"/>
  <c r="G26" i="7"/>
  <c r="G40" i="7"/>
  <c r="G67" i="7"/>
  <c r="G81" i="7"/>
  <c r="G95" i="7"/>
  <c r="G106" i="5"/>
  <c r="G78" i="5"/>
  <c r="G64" i="5"/>
  <c r="G50" i="5"/>
  <c r="AA85" i="4"/>
  <c r="Z85" i="4"/>
  <c r="Y84" i="4"/>
  <c r="Y83" i="4"/>
  <c r="Y82" i="4"/>
  <c r="Y81" i="4"/>
  <c r="Y80" i="4"/>
  <c r="Y79" i="4"/>
  <c r="Y78" i="4"/>
  <c r="Y77" i="4"/>
  <c r="V85" i="4"/>
  <c r="U85" i="4"/>
  <c r="T84" i="4"/>
  <c r="T83" i="4"/>
  <c r="T82" i="4"/>
  <c r="T81" i="4"/>
  <c r="T80" i="4"/>
  <c r="T79" i="4"/>
  <c r="T78" i="4"/>
  <c r="T77" i="4"/>
  <c r="Q85" i="4"/>
  <c r="P85" i="4"/>
  <c r="O84" i="4"/>
  <c r="O83" i="4"/>
  <c r="O82" i="4"/>
  <c r="O81" i="4"/>
  <c r="O80" i="4"/>
  <c r="O79" i="4"/>
  <c r="O78" i="4"/>
  <c r="O77" i="4"/>
  <c r="L85" i="4"/>
  <c r="K85" i="4"/>
  <c r="J84" i="4"/>
  <c r="J83" i="4"/>
  <c r="J82" i="4"/>
  <c r="J81" i="4"/>
  <c r="J80" i="4"/>
  <c r="J79" i="4"/>
  <c r="J78" i="4"/>
  <c r="J77" i="4"/>
  <c r="V71" i="4"/>
  <c r="U71" i="4"/>
  <c r="T70" i="4"/>
  <c r="T69" i="4"/>
  <c r="T68" i="4"/>
  <c r="T67" i="4"/>
  <c r="T66" i="4"/>
  <c r="T65" i="4"/>
  <c r="T64" i="4"/>
  <c r="T63" i="4"/>
  <c r="Q71" i="4"/>
  <c r="P71" i="4"/>
  <c r="O70" i="4"/>
  <c r="O69" i="4"/>
  <c r="O68" i="4"/>
  <c r="O67" i="4"/>
  <c r="O66" i="4"/>
  <c r="O65" i="4"/>
  <c r="O64" i="4"/>
  <c r="O63" i="4"/>
  <c r="L71" i="4"/>
  <c r="F68" i="4" s="1"/>
  <c r="F70" i="4" s="1"/>
  <c r="K71" i="4"/>
  <c r="E68" i="4" s="1"/>
  <c r="J70" i="4"/>
  <c r="J69" i="4"/>
  <c r="J68" i="4"/>
  <c r="J67" i="4"/>
  <c r="J66" i="4"/>
  <c r="J65" i="4"/>
  <c r="J64" i="4"/>
  <c r="J63" i="4"/>
  <c r="V57" i="4"/>
  <c r="U57" i="4"/>
  <c r="T56" i="4"/>
  <c r="T55" i="4"/>
  <c r="T54" i="4"/>
  <c r="T53" i="4"/>
  <c r="T52" i="4"/>
  <c r="T51" i="4"/>
  <c r="T50" i="4"/>
  <c r="T49" i="4"/>
  <c r="Q57" i="4"/>
  <c r="P57" i="4"/>
  <c r="O56" i="4"/>
  <c r="O55" i="4"/>
  <c r="O54" i="4"/>
  <c r="O53" i="4"/>
  <c r="O52" i="4"/>
  <c r="O51" i="4"/>
  <c r="O50" i="4"/>
  <c r="O49" i="4"/>
  <c r="L57" i="4"/>
  <c r="K57" i="4"/>
  <c r="J56" i="4"/>
  <c r="J55" i="4"/>
  <c r="J54" i="4"/>
  <c r="J53" i="4"/>
  <c r="J52" i="4"/>
  <c r="J51" i="4"/>
  <c r="J50" i="4"/>
  <c r="J49" i="4"/>
  <c r="J42" i="4"/>
  <c r="G90" i="7"/>
  <c r="G76" i="7"/>
  <c r="G62" i="7"/>
  <c r="Q69" i="3"/>
  <c r="P69" i="3"/>
  <c r="O68" i="3"/>
  <c r="O67" i="3"/>
  <c r="O66" i="3"/>
  <c r="O65" i="3"/>
  <c r="O64" i="3"/>
  <c r="O63" i="3"/>
  <c r="O62" i="3"/>
  <c r="O61" i="3"/>
  <c r="G104" i="3"/>
  <c r="G90" i="3"/>
  <c r="G76" i="3"/>
  <c r="G63" i="2"/>
  <c r="L84" i="2"/>
  <c r="K84" i="2"/>
  <c r="J83" i="2"/>
  <c r="J82" i="2"/>
  <c r="J81" i="2"/>
  <c r="J80" i="2"/>
  <c r="J79" i="2"/>
  <c r="J78" i="2"/>
  <c r="J77" i="2"/>
  <c r="J76" i="2"/>
  <c r="Q84" i="2"/>
  <c r="P84" i="2"/>
  <c r="O83" i="2"/>
  <c r="O82" i="2"/>
  <c r="O81" i="2"/>
  <c r="O80" i="2"/>
  <c r="O79" i="2"/>
  <c r="O78" i="2"/>
  <c r="O77" i="2"/>
  <c r="O76" i="2"/>
  <c r="V84" i="2"/>
  <c r="U84" i="2"/>
  <c r="T83" i="2"/>
  <c r="T82" i="2"/>
  <c r="T81" i="2"/>
  <c r="T80" i="2"/>
  <c r="T79" i="2"/>
  <c r="T78" i="2"/>
  <c r="T77" i="2"/>
  <c r="T76" i="2"/>
  <c r="AA84" i="2"/>
  <c r="Z84" i="2"/>
  <c r="Y77" i="2"/>
  <c r="Y78" i="2"/>
  <c r="Y79" i="2"/>
  <c r="Y80" i="2"/>
  <c r="Y81" i="2"/>
  <c r="Y82" i="2"/>
  <c r="Y83" i="2"/>
  <c r="Y76" i="2"/>
  <c r="Q70" i="2"/>
  <c r="P70" i="2"/>
  <c r="O69" i="2"/>
  <c r="O68" i="2"/>
  <c r="O67" i="2"/>
  <c r="O66" i="2"/>
  <c r="O65" i="2"/>
  <c r="O64" i="2"/>
  <c r="O63" i="2"/>
  <c r="O62" i="2"/>
  <c r="AA70" i="2"/>
  <c r="Z70" i="2"/>
  <c r="Y69" i="2"/>
  <c r="Y68" i="2"/>
  <c r="Y67" i="2"/>
  <c r="Y66" i="2"/>
  <c r="Y65" i="2"/>
  <c r="Y64" i="2"/>
  <c r="Y63" i="2"/>
  <c r="Y62" i="2"/>
  <c r="V70" i="2"/>
  <c r="U70" i="2"/>
  <c r="T63" i="2"/>
  <c r="T64" i="2"/>
  <c r="T65" i="2"/>
  <c r="T66" i="2"/>
  <c r="T67" i="2"/>
  <c r="T68" i="2"/>
  <c r="T62" i="2"/>
  <c r="L70" i="2"/>
  <c r="K70" i="2"/>
  <c r="J63" i="2"/>
  <c r="J64" i="2"/>
  <c r="J65" i="2"/>
  <c r="J66" i="2"/>
  <c r="J67" i="2"/>
  <c r="J68" i="2"/>
  <c r="J69" i="2"/>
  <c r="J62" i="2"/>
  <c r="G130" i="6"/>
  <c r="G89" i="6"/>
  <c r="L123" i="6"/>
  <c r="K123" i="6"/>
  <c r="J122" i="6"/>
  <c r="J121" i="6"/>
  <c r="J120" i="6"/>
  <c r="J119" i="6"/>
  <c r="J118" i="6"/>
  <c r="J117" i="6"/>
  <c r="J116" i="6"/>
  <c r="J115" i="6"/>
  <c r="V68" i="6"/>
  <c r="U68" i="6"/>
  <c r="T67" i="6"/>
  <c r="T66" i="6"/>
  <c r="T65" i="6"/>
  <c r="T64" i="6"/>
  <c r="T63" i="6"/>
  <c r="T62" i="6"/>
  <c r="T61" i="6"/>
  <c r="T60" i="6"/>
  <c r="Q68" i="6"/>
  <c r="P68" i="6"/>
  <c r="L68" i="6"/>
  <c r="K68" i="6"/>
  <c r="O67" i="6"/>
  <c r="J67" i="6"/>
  <c r="O66" i="6"/>
  <c r="J66" i="6"/>
  <c r="O65" i="6"/>
  <c r="J65" i="6"/>
  <c r="O64" i="6"/>
  <c r="J64" i="6"/>
  <c r="O63" i="6"/>
  <c r="J63" i="6"/>
  <c r="O62" i="6"/>
  <c r="J62" i="6"/>
  <c r="O61" i="6"/>
  <c r="J61" i="6"/>
  <c r="O60" i="6"/>
  <c r="J60" i="6"/>
  <c r="Q41" i="6"/>
  <c r="P41" i="6"/>
  <c r="O40" i="6"/>
  <c r="O39" i="6"/>
  <c r="O38" i="6"/>
  <c r="O37" i="6"/>
  <c r="O36" i="6"/>
  <c r="O35" i="6"/>
  <c r="O34" i="6"/>
  <c r="O33" i="6"/>
  <c r="L41" i="6"/>
  <c r="K41" i="6"/>
  <c r="J40" i="6"/>
  <c r="J39" i="6"/>
  <c r="J38" i="6"/>
  <c r="J37" i="6"/>
  <c r="J36" i="6"/>
  <c r="J35" i="6"/>
  <c r="J34" i="6"/>
  <c r="J33" i="6"/>
  <c r="V137" i="6"/>
  <c r="U137" i="6"/>
  <c r="Q137" i="6"/>
  <c r="P137" i="6"/>
  <c r="L137" i="6"/>
  <c r="F134" i="6" s="1"/>
  <c r="K137" i="6"/>
  <c r="E134" i="6" s="1"/>
  <c r="T136" i="6"/>
  <c r="O136" i="6"/>
  <c r="J136" i="6"/>
  <c r="T135" i="6"/>
  <c r="O135" i="6"/>
  <c r="J135" i="6"/>
  <c r="T134" i="6"/>
  <c r="O134" i="6"/>
  <c r="J134" i="6"/>
  <c r="T133" i="6"/>
  <c r="O133" i="6"/>
  <c r="J133" i="6"/>
  <c r="T132" i="6"/>
  <c r="O132" i="6"/>
  <c r="J132" i="6"/>
  <c r="T131" i="6"/>
  <c r="O131" i="6"/>
  <c r="J131" i="6"/>
  <c r="T130" i="6"/>
  <c r="O130" i="6"/>
  <c r="J130" i="6"/>
  <c r="T129" i="6"/>
  <c r="O129" i="6"/>
  <c r="J129" i="6"/>
  <c r="AA110" i="6"/>
  <c r="Z110" i="6"/>
  <c r="V110" i="6"/>
  <c r="U110" i="6"/>
  <c r="Q110" i="6"/>
  <c r="P110" i="6"/>
  <c r="L110" i="6"/>
  <c r="K110" i="6"/>
  <c r="Y109" i="6"/>
  <c r="T109" i="6"/>
  <c r="O109" i="6"/>
  <c r="J109" i="6"/>
  <c r="Y108" i="6"/>
  <c r="T108" i="6"/>
  <c r="O108" i="6"/>
  <c r="J108" i="6"/>
  <c r="Y107" i="6"/>
  <c r="T107" i="6"/>
  <c r="O107" i="6"/>
  <c r="J107" i="6"/>
  <c r="Y106" i="6"/>
  <c r="T106" i="6"/>
  <c r="O106" i="6"/>
  <c r="J106" i="6"/>
  <c r="Y105" i="6"/>
  <c r="T105" i="6"/>
  <c r="O105" i="6"/>
  <c r="J105" i="6"/>
  <c r="Y104" i="6"/>
  <c r="T104" i="6"/>
  <c r="O104" i="6"/>
  <c r="J104" i="6"/>
  <c r="Y103" i="6"/>
  <c r="T103" i="6"/>
  <c r="O103" i="6"/>
  <c r="J103" i="6"/>
  <c r="Y102" i="6"/>
  <c r="T102" i="6"/>
  <c r="O102" i="6"/>
  <c r="J102" i="6"/>
  <c r="AA96" i="6"/>
  <c r="Z96" i="6"/>
  <c r="V96" i="6"/>
  <c r="U96" i="6"/>
  <c r="Q96" i="6"/>
  <c r="P96" i="6"/>
  <c r="L96" i="6"/>
  <c r="F93" i="6" s="1"/>
  <c r="F95" i="6" s="1"/>
  <c r="K96" i="6"/>
  <c r="E93" i="6" s="1"/>
  <c r="E95" i="6" s="1"/>
  <c r="Y95" i="6"/>
  <c r="T95" i="6"/>
  <c r="O95" i="6"/>
  <c r="J95" i="6"/>
  <c r="Y94" i="6"/>
  <c r="T94" i="6"/>
  <c r="O94" i="6"/>
  <c r="J94" i="6"/>
  <c r="Y93" i="6"/>
  <c r="T93" i="6"/>
  <c r="O93" i="6"/>
  <c r="J93" i="6"/>
  <c r="Y92" i="6"/>
  <c r="T92" i="6"/>
  <c r="O92" i="6"/>
  <c r="J92" i="6"/>
  <c r="Y91" i="6"/>
  <c r="T91" i="6"/>
  <c r="O91" i="6"/>
  <c r="J91" i="6"/>
  <c r="Y90" i="6"/>
  <c r="T90" i="6"/>
  <c r="O90" i="6"/>
  <c r="J90" i="6"/>
  <c r="Y89" i="6"/>
  <c r="T89" i="6"/>
  <c r="O89" i="6"/>
  <c r="J89" i="6"/>
  <c r="Y88" i="6"/>
  <c r="T88" i="6"/>
  <c r="O88" i="6"/>
  <c r="J88" i="6"/>
  <c r="AA82" i="6"/>
  <c r="Z82" i="6"/>
  <c r="V82" i="6"/>
  <c r="U82" i="6"/>
  <c r="Q82" i="6"/>
  <c r="P82" i="6"/>
  <c r="L82" i="6"/>
  <c r="K82" i="6"/>
  <c r="Y81" i="6"/>
  <c r="T81" i="6"/>
  <c r="O81" i="6"/>
  <c r="J81" i="6"/>
  <c r="Y80" i="6"/>
  <c r="T80" i="6"/>
  <c r="O80" i="6"/>
  <c r="J80" i="6"/>
  <c r="Y79" i="6"/>
  <c r="T79" i="6"/>
  <c r="O79" i="6"/>
  <c r="J79" i="6"/>
  <c r="Y78" i="6"/>
  <c r="T78" i="6"/>
  <c r="O78" i="6"/>
  <c r="J78" i="6"/>
  <c r="Y77" i="6"/>
  <c r="T77" i="6"/>
  <c r="O77" i="6"/>
  <c r="J77" i="6"/>
  <c r="Y76" i="6"/>
  <c r="T76" i="6"/>
  <c r="O76" i="6"/>
  <c r="J76" i="6"/>
  <c r="Y75" i="6"/>
  <c r="T75" i="6"/>
  <c r="O75" i="6"/>
  <c r="J75" i="6"/>
  <c r="Y74" i="6"/>
  <c r="T74" i="6"/>
  <c r="O74" i="6"/>
  <c r="J74" i="6"/>
  <c r="AA113" i="5"/>
  <c r="Z113" i="5"/>
  <c r="V113" i="5"/>
  <c r="U113" i="5"/>
  <c r="Q113" i="5"/>
  <c r="P113" i="5"/>
  <c r="L113" i="5"/>
  <c r="K113" i="5"/>
  <c r="Y112" i="5"/>
  <c r="T112" i="5"/>
  <c r="O112" i="5"/>
  <c r="J112" i="5"/>
  <c r="Y111" i="5"/>
  <c r="T111" i="5"/>
  <c r="O111" i="5"/>
  <c r="J111" i="5"/>
  <c r="Y110" i="5"/>
  <c r="T110" i="5"/>
  <c r="O110" i="5"/>
  <c r="J110" i="5"/>
  <c r="Y109" i="5"/>
  <c r="T109" i="5"/>
  <c r="O109" i="5"/>
  <c r="J109" i="5"/>
  <c r="Y108" i="5"/>
  <c r="T108" i="5"/>
  <c r="O108" i="5"/>
  <c r="J108" i="5"/>
  <c r="Y107" i="5"/>
  <c r="T107" i="5"/>
  <c r="O107" i="5"/>
  <c r="J107" i="5"/>
  <c r="Y106" i="5"/>
  <c r="T106" i="5"/>
  <c r="O106" i="5"/>
  <c r="J106" i="5"/>
  <c r="Y105" i="5"/>
  <c r="T105" i="5"/>
  <c r="O105" i="5"/>
  <c r="J105" i="5"/>
  <c r="Q99" i="5"/>
  <c r="P99" i="5"/>
  <c r="L99" i="5"/>
  <c r="F96" i="5" s="1"/>
  <c r="F98" i="5" s="1"/>
  <c r="K99" i="5"/>
  <c r="O98" i="5"/>
  <c r="J98" i="5"/>
  <c r="O97" i="5"/>
  <c r="J97" i="5"/>
  <c r="O96" i="5"/>
  <c r="J96" i="5"/>
  <c r="O95" i="5"/>
  <c r="J95" i="5"/>
  <c r="O94" i="5"/>
  <c r="J94" i="5"/>
  <c r="O93" i="5"/>
  <c r="J93" i="5"/>
  <c r="O92" i="5"/>
  <c r="J92" i="5"/>
  <c r="O91" i="5"/>
  <c r="J91" i="5"/>
  <c r="Q85" i="5"/>
  <c r="P85" i="5"/>
  <c r="L85" i="5"/>
  <c r="F82" i="5" s="1"/>
  <c r="F84" i="5" s="1"/>
  <c r="K85" i="5"/>
  <c r="O84" i="5"/>
  <c r="J84" i="5"/>
  <c r="O83" i="5"/>
  <c r="J83" i="5"/>
  <c r="O82" i="5"/>
  <c r="J82" i="5"/>
  <c r="O81" i="5"/>
  <c r="J81" i="5"/>
  <c r="O80" i="5"/>
  <c r="J80" i="5"/>
  <c r="O79" i="5"/>
  <c r="J79" i="5"/>
  <c r="O78" i="5"/>
  <c r="J78" i="5"/>
  <c r="O77" i="5"/>
  <c r="J77" i="5"/>
  <c r="AA71" i="5"/>
  <c r="Z71" i="5"/>
  <c r="V71" i="5"/>
  <c r="U71" i="5"/>
  <c r="Q71" i="5"/>
  <c r="P71" i="5"/>
  <c r="L71" i="5"/>
  <c r="K71" i="5"/>
  <c r="Y70" i="5"/>
  <c r="T70" i="5"/>
  <c r="O70" i="5"/>
  <c r="J70" i="5"/>
  <c r="Y69" i="5"/>
  <c r="T69" i="5"/>
  <c r="O69" i="5"/>
  <c r="J69" i="5"/>
  <c r="Y68" i="5"/>
  <c r="T68" i="5"/>
  <c r="O68" i="5"/>
  <c r="J68" i="5"/>
  <c r="Y67" i="5"/>
  <c r="T67" i="5"/>
  <c r="O67" i="5"/>
  <c r="J67" i="5"/>
  <c r="Y66" i="5"/>
  <c r="T66" i="5"/>
  <c r="O66" i="5"/>
  <c r="J66" i="5"/>
  <c r="Y65" i="5"/>
  <c r="T65" i="5"/>
  <c r="O65" i="5"/>
  <c r="J65" i="5"/>
  <c r="Y64" i="5"/>
  <c r="T64" i="5"/>
  <c r="O64" i="5"/>
  <c r="J64" i="5"/>
  <c r="Y63" i="5"/>
  <c r="T63" i="5"/>
  <c r="O63" i="5"/>
  <c r="J63" i="5"/>
  <c r="AA57" i="5"/>
  <c r="Z57" i="5"/>
  <c r="V57" i="5"/>
  <c r="U57" i="5"/>
  <c r="Q57" i="5"/>
  <c r="F54" i="5" s="1"/>
  <c r="P57" i="5"/>
  <c r="K57" i="5"/>
  <c r="Y56" i="5"/>
  <c r="T56" i="5"/>
  <c r="O56" i="5"/>
  <c r="J56" i="5"/>
  <c r="Y55" i="5"/>
  <c r="T55" i="5"/>
  <c r="O55" i="5"/>
  <c r="J55" i="5"/>
  <c r="Y54" i="5"/>
  <c r="T54" i="5"/>
  <c r="O54" i="5"/>
  <c r="J54" i="5"/>
  <c r="Y53" i="5"/>
  <c r="T53" i="5"/>
  <c r="O53" i="5"/>
  <c r="J53" i="5"/>
  <c r="Y52" i="5"/>
  <c r="T52" i="5"/>
  <c r="O52" i="5"/>
  <c r="J52" i="5"/>
  <c r="Y51" i="5"/>
  <c r="T51" i="5"/>
  <c r="O51" i="5"/>
  <c r="J51" i="5"/>
  <c r="Y50" i="5"/>
  <c r="T50" i="5"/>
  <c r="O50" i="5"/>
  <c r="J50" i="5"/>
  <c r="Y49" i="5"/>
  <c r="T49" i="5"/>
  <c r="O49" i="5"/>
  <c r="J49" i="5"/>
  <c r="O34" i="7"/>
  <c r="O35" i="7"/>
  <c r="O36" i="7"/>
  <c r="O37" i="7"/>
  <c r="O38" i="7"/>
  <c r="O39" i="7"/>
  <c r="O40" i="7"/>
  <c r="O41" i="7"/>
  <c r="P42" i="7"/>
  <c r="Q42" i="7"/>
  <c r="T34" i="7"/>
  <c r="T35" i="7"/>
  <c r="T36" i="7"/>
  <c r="T37" i="7"/>
  <c r="T38" i="7"/>
  <c r="T39" i="7"/>
  <c r="T40" i="7"/>
  <c r="T41" i="7"/>
  <c r="U42" i="7"/>
  <c r="V42" i="7"/>
  <c r="Y34" i="7"/>
  <c r="Y35" i="7"/>
  <c r="Y36" i="7"/>
  <c r="Y37" i="7"/>
  <c r="Y38" i="7"/>
  <c r="Y39" i="7"/>
  <c r="Y40" i="7"/>
  <c r="Y41" i="7"/>
  <c r="Z42" i="7"/>
  <c r="AA42" i="7"/>
  <c r="J47" i="7"/>
  <c r="J48" i="7"/>
  <c r="J49" i="7"/>
  <c r="J50" i="7"/>
  <c r="J51" i="7"/>
  <c r="J52" i="7"/>
  <c r="J53" i="7"/>
  <c r="J54" i="7"/>
  <c r="K55" i="7"/>
  <c r="L55" i="7"/>
  <c r="O47" i="7"/>
  <c r="O48" i="7"/>
  <c r="O49" i="7"/>
  <c r="O50" i="7"/>
  <c r="O51" i="7"/>
  <c r="O52" i="7"/>
  <c r="O53" i="7"/>
  <c r="O54" i="7"/>
  <c r="P55" i="7"/>
  <c r="Q55" i="7"/>
  <c r="Q97" i="7"/>
  <c r="P97" i="7"/>
  <c r="L97" i="7"/>
  <c r="F94" i="7" s="1"/>
  <c r="F96" i="7" s="1"/>
  <c r="K97" i="7"/>
  <c r="O96" i="7"/>
  <c r="J96" i="7"/>
  <c r="O95" i="7"/>
  <c r="J95" i="7"/>
  <c r="O94" i="7"/>
  <c r="J94" i="7"/>
  <c r="O93" i="7"/>
  <c r="J93" i="7"/>
  <c r="O92" i="7"/>
  <c r="J92" i="7"/>
  <c r="O91" i="7"/>
  <c r="J91" i="7"/>
  <c r="O90" i="7"/>
  <c r="J90" i="7"/>
  <c r="O89" i="7"/>
  <c r="J89" i="7"/>
  <c r="AA83" i="7"/>
  <c r="Z83" i="7"/>
  <c r="V83" i="7"/>
  <c r="U83" i="7"/>
  <c r="Q83" i="7"/>
  <c r="P83" i="7"/>
  <c r="L83" i="7"/>
  <c r="K83" i="7"/>
  <c r="Y82" i="7"/>
  <c r="T82" i="7"/>
  <c r="O82" i="7"/>
  <c r="J82" i="7"/>
  <c r="Y81" i="7"/>
  <c r="T81" i="7"/>
  <c r="O81" i="7"/>
  <c r="J81" i="7"/>
  <c r="Y80" i="7"/>
  <c r="T80" i="7"/>
  <c r="O80" i="7"/>
  <c r="J80" i="7"/>
  <c r="Y79" i="7"/>
  <c r="T79" i="7"/>
  <c r="O79" i="7"/>
  <c r="J79" i="7"/>
  <c r="Y78" i="7"/>
  <c r="T78" i="7"/>
  <c r="O78" i="7"/>
  <c r="J78" i="7"/>
  <c r="Y77" i="7"/>
  <c r="T77" i="7"/>
  <c r="O77" i="7"/>
  <c r="J77" i="7"/>
  <c r="Y76" i="7"/>
  <c r="T76" i="7"/>
  <c r="O76" i="7"/>
  <c r="J76" i="7"/>
  <c r="Y75" i="7"/>
  <c r="T75" i="7"/>
  <c r="O75" i="7"/>
  <c r="J75" i="7"/>
  <c r="Q69" i="7"/>
  <c r="P69" i="7"/>
  <c r="L69" i="7"/>
  <c r="F66" i="7" s="1"/>
  <c r="F68" i="7" s="1"/>
  <c r="K69" i="7"/>
  <c r="E66" i="7" s="1"/>
  <c r="O68" i="7"/>
  <c r="J68" i="7"/>
  <c r="O67" i="7"/>
  <c r="J67" i="7"/>
  <c r="O66" i="7"/>
  <c r="J66" i="7"/>
  <c r="O65" i="7"/>
  <c r="J65" i="7"/>
  <c r="O64" i="7"/>
  <c r="J64" i="7"/>
  <c r="O63" i="7"/>
  <c r="J63" i="7"/>
  <c r="O62" i="7"/>
  <c r="J62" i="7"/>
  <c r="O61" i="7"/>
  <c r="J61" i="7"/>
  <c r="L42" i="7"/>
  <c r="K42" i="7"/>
  <c r="J41" i="7"/>
  <c r="J40" i="7"/>
  <c r="J39" i="7"/>
  <c r="J38" i="7"/>
  <c r="J37" i="7"/>
  <c r="J36" i="7"/>
  <c r="J35" i="7"/>
  <c r="G35" i="7"/>
  <c r="J34" i="7"/>
  <c r="V111" i="3"/>
  <c r="U111" i="3"/>
  <c r="Q111" i="3"/>
  <c r="P111" i="3"/>
  <c r="L111" i="3"/>
  <c r="F108" i="3" s="1"/>
  <c r="K111" i="3"/>
  <c r="E108" i="3" s="1"/>
  <c r="T110" i="3"/>
  <c r="O110" i="3"/>
  <c r="J110" i="3"/>
  <c r="T109" i="3"/>
  <c r="O109" i="3"/>
  <c r="J109" i="3"/>
  <c r="T108" i="3"/>
  <c r="O108" i="3"/>
  <c r="J108" i="3"/>
  <c r="T107" i="3"/>
  <c r="O107" i="3"/>
  <c r="J107" i="3"/>
  <c r="T106" i="3"/>
  <c r="O106" i="3"/>
  <c r="J106" i="3"/>
  <c r="T105" i="3"/>
  <c r="O105" i="3"/>
  <c r="J105" i="3"/>
  <c r="T104" i="3"/>
  <c r="O104" i="3"/>
  <c r="J104" i="3"/>
  <c r="T103" i="3"/>
  <c r="O103" i="3"/>
  <c r="J103" i="3"/>
  <c r="AA97" i="3"/>
  <c r="Z97" i="3"/>
  <c r="V97" i="3"/>
  <c r="U97" i="3"/>
  <c r="Q97" i="3"/>
  <c r="P97" i="3"/>
  <c r="L97" i="3"/>
  <c r="K97" i="3"/>
  <c r="Y96" i="3"/>
  <c r="T96" i="3"/>
  <c r="O96" i="3"/>
  <c r="J96" i="3"/>
  <c r="Y95" i="3"/>
  <c r="T95" i="3"/>
  <c r="O95" i="3"/>
  <c r="J95" i="3"/>
  <c r="Y94" i="3"/>
  <c r="T94" i="3"/>
  <c r="O94" i="3"/>
  <c r="J94" i="3"/>
  <c r="Y93" i="3"/>
  <c r="T93" i="3"/>
  <c r="O93" i="3"/>
  <c r="J93" i="3"/>
  <c r="Y92" i="3"/>
  <c r="T92" i="3"/>
  <c r="O92" i="3"/>
  <c r="J92" i="3"/>
  <c r="Y91" i="3"/>
  <c r="T91" i="3"/>
  <c r="O91" i="3"/>
  <c r="J91" i="3"/>
  <c r="Y90" i="3"/>
  <c r="T90" i="3"/>
  <c r="O90" i="3"/>
  <c r="J90" i="3"/>
  <c r="Y89" i="3"/>
  <c r="T89" i="3"/>
  <c r="O89" i="3"/>
  <c r="J89" i="3"/>
  <c r="Q83" i="3"/>
  <c r="P83" i="3"/>
  <c r="L83" i="3"/>
  <c r="F80" i="3" s="1"/>
  <c r="F82" i="3" s="1"/>
  <c r="K83" i="3"/>
  <c r="E80" i="3" s="1"/>
  <c r="O82" i="3"/>
  <c r="J82" i="3"/>
  <c r="O81" i="3"/>
  <c r="J81" i="3"/>
  <c r="O80" i="3"/>
  <c r="J80" i="3"/>
  <c r="O79" i="3"/>
  <c r="J79" i="3"/>
  <c r="O78" i="3"/>
  <c r="J78" i="3"/>
  <c r="O77" i="3"/>
  <c r="J77" i="3"/>
  <c r="O76" i="3"/>
  <c r="J76" i="3"/>
  <c r="O75" i="3"/>
  <c r="J75" i="3"/>
  <c r="V28" i="3"/>
  <c r="U28" i="3"/>
  <c r="Q28" i="3"/>
  <c r="P28" i="3"/>
  <c r="L28" i="3"/>
  <c r="K28" i="3"/>
  <c r="V15" i="3"/>
  <c r="U15" i="3"/>
  <c r="Q15" i="3"/>
  <c r="P15" i="3"/>
  <c r="L15" i="3"/>
  <c r="K15" i="3"/>
  <c r="T27" i="3"/>
  <c r="O27" i="3"/>
  <c r="J27" i="3"/>
  <c r="T14" i="3"/>
  <c r="O14" i="3"/>
  <c r="J14" i="3"/>
  <c r="T26" i="3"/>
  <c r="O26" i="3"/>
  <c r="J26" i="3"/>
  <c r="T13" i="3"/>
  <c r="O13" i="3"/>
  <c r="J13" i="3"/>
  <c r="T25" i="3"/>
  <c r="O25" i="3"/>
  <c r="J25" i="3"/>
  <c r="T12" i="3"/>
  <c r="O12" i="3"/>
  <c r="J12" i="3"/>
  <c r="T24" i="3"/>
  <c r="O24" i="3"/>
  <c r="J24" i="3"/>
  <c r="T11" i="3"/>
  <c r="O11" i="3"/>
  <c r="J11" i="3"/>
  <c r="T23" i="3"/>
  <c r="O23" i="3"/>
  <c r="J23" i="3"/>
  <c r="T10" i="3"/>
  <c r="O10" i="3"/>
  <c r="J10" i="3"/>
  <c r="T22" i="3"/>
  <c r="O22" i="3"/>
  <c r="J22" i="3"/>
  <c r="T9" i="3"/>
  <c r="O9" i="3"/>
  <c r="J9" i="3"/>
  <c r="T21" i="3"/>
  <c r="O21" i="3"/>
  <c r="J21" i="3"/>
  <c r="T8" i="3"/>
  <c r="O8" i="3"/>
  <c r="J8" i="3"/>
  <c r="G8" i="3"/>
  <c r="T20" i="3"/>
  <c r="O20" i="3"/>
  <c r="J20" i="3"/>
  <c r="T7" i="3"/>
  <c r="O7" i="3"/>
  <c r="J7" i="3"/>
  <c r="Q56" i="2"/>
  <c r="P56" i="2"/>
  <c r="L56" i="2"/>
  <c r="K56" i="2"/>
  <c r="O55" i="2"/>
  <c r="J55" i="2"/>
  <c r="O54" i="2"/>
  <c r="J54" i="2"/>
  <c r="O53" i="2"/>
  <c r="J53" i="2"/>
  <c r="O52" i="2"/>
  <c r="J52" i="2"/>
  <c r="O51" i="2"/>
  <c r="J51" i="2"/>
  <c r="O50" i="2"/>
  <c r="J50" i="2"/>
  <c r="O49" i="2"/>
  <c r="J49" i="2"/>
  <c r="O48" i="2"/>
  <c r="J48" i="2"/>
  <c r="AA15" i="2"/>
  <c r="Z15" i="2"/>
  <c r="V15" i="2"/>
  <c r="U15" i="2"/>
  <c r="Q15" i="2"/>
  <c r="P15" i="2"/>
  <c r="L15" i="2"/>
  <c r="K15" i="2"/>
  <c r="Y14" i="2"/>
  <c r="T14" i="2"/>
  <c r="O14" i="2"/>
  <c r="J14" i="2"/>
  <c r="Y13" i="2"/>
  <c r="T13" i="2"/>
  <c r="O13" i="2"/>
  <c r="J13" i="2"/>
  <c r="Y12" i="2"/>
  <c r="T12" i="2"/>
  <c r="O12" i="2"/>
  <c r="J12" i="2"/>
  <c r="Y11" i="2"/>
  <c r="T11" i="2"/>
  <c r="O11" i="2"/>
  <c r="J11" i="2"/>
  <c r="Y10" i="2"/>
  <c r="T10" i="2"/>
  <c r="O10" i="2"/>
  <c r="J10" i="2"/>
  <c r="Y9" i="2"/>
  <c r="T9" i="2"/>
  <c r="O9" i="2"/>
  <c r="J9" i="2"/>
  <c r="Y8" i="2"/>
  <c r="T8" i="2"/>
  <c r="O8" i="2"/>
  <c r="J8" i="2"/>
  <c r="G8" i="2"/>
  <c r="Y7" i="2"/>
  <c r="T7" i="2"/>
  <c r="O7" i="2"/>
  <c r="J7" i="2"/>
  <c r="F25" i="7"/>
  <c r="F27" i="7" s="1"/>
  <c r="E25" i="7"/>
  <c r="G21" i="7"/>
  <c r="Q14" i="7"/>
  <c r="P14" i="7"/>
  <c r="L14" i="7"/>
  <c r="K14" i="7"/>
  <c r="O13" i="7"/>
  <c r="J13" i="7"/>
  <c r="O12" i="7"/>
  <c r="J12" i="7"/>
  <c r="O11" i="7"/>
  <c r="J11" i="7"/>
  <c r="O10" i="7"/>
  <c r="J10" i="7"/>
  <c r="O9" i="7"/>
  <c r="J9" i="7"/>
  <c r="O8" i="7"/>
  <c r="J8" i="7"/>
  <c r="O7" i="7"/>
  <c r="J7" i="7"/>
  <c r="G7" i="7"/>
  <c r="O6" i="7"/>
  <c r="J6" i="7"/>
  <c r="AA55" i="6"/>
  <c r="Z55" i="6"/>
  <c r="V55" i="6"/>
  <c r="U55" i="6"/>
  <c r="Q55" i="6"/>
  <c r="P55" i="6"/>
  <c r="L55" i="6"/>
  <c r="K55" i="6"/>
  <c r="Y54" i="6"/>
  <c r="T54" i="6"/>
  <c r="O54" i="6"/>
  <c r="J54" i="6"/>
  <c r="Y53" i="6"/>
  <c r="T53" i="6"/>
  <c r="O53" i="6"/>
  <c r="J53" i="6"/>
  <c r="Y52" i="6"/>
  <c r="T52" i="6"/>
  <c r="O52" i="6"/>
  <c r="J52" i="6"/>
  <c r="Y51" i="6"/>
  <c r="T51" i="6"/>
  <c r="O51" i="6"/>
  <c r="J51" i="6"/>
  <c r="Y50" i="6"/>
  <c r="T50" i="6"/>
  <c r="O50" i="6"/>
  <c r="J50" i="6"/>
  <c r="Y49" i="6"/>
  <c r="T49" i="6"/>
  <c r="O49" i="6"/>
  <c r="J49" i="6"/>
  <c r="Y48" i="6"/>
  <c r="T48" i="6"/>
  <c r="O48" i="6"/>
  <c r="J48" i="6"/>
  <c r="G48" i="6"/>
  <c r="Y47" i="6"/>
  <c r="T47" i="6"/>
  <c r="O47" i="6"/>
  <c r="J47" i="6"/>
  <c r="AA28" i="6"/>
  <c r="Z28" i="6"/>
  <c r="V28" i="6"/>
  <c r="U28" i="6"/>
  <c r="Q28" i="6"/>
  <c r="P28" i="6"/>
  <c r="L28" i="6"/>
  <c r="F25" i="6" s="1"/>
  <c r="F27" i="6" s="1"/>
  <c r="K28" i="6"/>
  <c r="Y27" i="6"/>
  <c r="T27" i="6"/>
  <c r="O27" i="6"/>
  <c r="J27" i="6"/>
  <c r="Y26" i="6"/>
  <c r="T26" i="6"/>
  <c r="O26" i="6"/>
  <c r="J26" i="6"/>
  <c r="Y25" i="6"/>
  <c r="T25" i="6"/>
  <c r="O25" i="6"/>
  <c r="J25" i="6"/>
  <c r="Y24" i="6"/>
  <c r="T24" i="6"/>
  <c r="O24" i="6"/>
  <c r="J24" i="6"/>
  <c r="Y23" i="6"/>
  <c r="T23" i="6"/>
  <c r="O23" i="6"/>
  <c r="J23" i="6"/>
  <c r="Y22" i="6"/>
  <c r="T22" i="6"/>
  <c r="O22" i="6"/>
  <c r="J22" i="6"/>
  <c r="Y21" i="6"/>
  <c r="T21" i="6"/>
  <c r="O21" i="6"/>
  <c r="J21" i="6"/>
  <c r="Y20" i="6"/>
  <c r="T20" i="6"/>
  <c r="O20" i="6"/>
  <c r="J20" i="6"/>
  <c r="AA14" i="6"/>
  <c r="Z14" i="6"/>
  <c r="V14" i="6"/>
  <c r="U14" i="6"/>
  <c r="Q14" i="6"/>
  <c r="P14" i="6"/>
  <c r="L14" i="6"/>
  <c r="K14" i="6"/>
  <c r="Y13" i="6"/>
  <c r="T13" i="6"/>
  <c r="O13" i="6"/>
  <c r="J13" i="6"/>
  <c r="Y12" i="6"/>
  <c r="T12" i="6"/>
  <c r="O12" i="6"/>
  <c r="J12" i="6"/>
  <c r="Y11" i="6"/>
  <c r="T11" i="6"/>
  <c r="O11" i="6"/>
  <c r="J11" i="6"/>
  <c r="Y10" i="6"/>
  <c r="T10" i="6"/>
  <c r="O10" i="6"/>
  <c r="J10" i="6"/>
  <c r="Y9" i="6"/>
  <c r="T9" i="6"/>
  <c r="O9" i="6"/>
  <c r="J9" i="6"/>
  <c r="Y8" i="6"/>
  <c r="T8" i="6"/>
  <c r="O8" i="6"/>
  <c r="J8" i="6"/>
  <c r="Y7" i="6"/>
  <c r="T7" i="6"/>
  <c r="O7" i="6"/>
  <c r="J7" i="6"/>
  <c r="G7" i="6"/>
  <c r="Y6" i="6"/>
  <c r="T6" i="6"/>
  <c r="O6" i="6"/>
  <c r="J6" i="6"/>
  <c r="Q43" i="5"/>
  <c r="P43" i="5"/>
  <c r="L43" i="5"/>
  <c r="K43" i="5"/>
  <c r="O42" i="5"/>
  <c r="J42" i="5"/>
  <c r="O41" i="5"/>
  <c r="J41" i="5"/>
  <c r="O40" i="5"/>
  <c r="J40" i="5"/>
  <c r="O39" i="5"/>
  <c r="J39" i="5"/>
  <c r="O38" i="5"/>
  <c r="J38" i="5"/>
  <c r="O37" i="5"/>
  <c r="J37" i="5"/>
  <c r="O36" i="5"/>
  <c r="J36" i="5"/>
  <c r="G36" i="5"/>
  <c r="O35" i="5"/>
  <c r="J35" i="5"/>
  <c r="V29" i="5"/>
  <c r="U29" i="5"/>
  <c r="Q29" i="5"/>
  <c r="P29" i="5"/>
  <c r="L29" i="5"/>
  <c r="F26" i="5" s="1"/>
  <c r="F28" i="5" s="1"/>
  <c r="K29" i="5"/>
  <c r="E26" i="5" s="1"/>
  <c r="T28" i="5"/>
  <c r="O28" i="5"/>
  <c r="J28" i="5"/>
  <c r="T27" i="5"/>
  <c r="O27" i="5"/>
  <c r="J27" i="5"/>
  <c r="T26" i="5"/>
  <c r="O26" i="5"/>
  <c r="J26" i="5"/>
  <c r="T25" i="5"/>
  <c r="O25" i="5"/>
  <c r="J25" i="5"/>
  <c r="T24" i="5"/>
  <c r="O24" i="5"/>
  <c r="J24" i="5"/>
  <c r="T23" i="5"/>
  <c r="O23" i="5"/>
  <c r="J23" i="5"/>
  <c r="T22" i="5"/>
  <c r="O22" i="5"/>
  <c r="J22" i="5"/>
  <c r="G22" i="5"/>
  <c r="T21" i="5"/>
  <c r="O21" i="5"/>
  <c r="J21" i="5"/>
  <c r="AA15" i="5"/>
  <c r="Z15" i="5"/>
  <c r="V15" i="5"/>
  <c r="U15" i="5"/>
  <c r="Q15" i="5"/>
  <c r="P15" i="5"/>
  <c r="L15" i="5"/>
  <c r="K15" i="5"/>
  <c r="Y14" i="5"/>
  <c r="T14" i="5"/>
  <c r="O14" i="5"/>
  <c r="J14" i="5"/>
  <c r="Y13" i="5"/>
  <c r="T13" i="5"/>
  <c r="O13" i="5"/>
  <c r="J13" i="5"/>
  <c r="Y12" i="5"/>
  <c r="T12" i="5"/>
  <c r="O12" i="5"/>
  <c r="J12" i="5"/>
  <c r="Y11" i="5"/>
  <c r="T11" i="5"/>
  <c r="O11" i="5"/>
  <c r="J11" i="5"/>
  <c r="Y10" i="5"/>
  <c r="T10" i="5"/>
  <c r="O10" i="5"/>
  <c r="J10" i="5"/>
  <c r="Y9" i="5"/>
  <c r="T9" i="5"/>
  <c r="O9" i="5"/>
  <c r="J9" i="5"/>
  <c r="Y8" i="5"/>
  <c r="T8" i="5"/>
  <c r="O8" i="5"/>
  <c r="J8" i="5"/>
  <c r="Y7" i="5"/>
  <c r="T7" i="5"/>
  <c r="O7" i="5"/>
  <c r="J7" i="5"/>
  <c r="AA15" i="4"/>
  <c r="Z15" i="4"/>
  <c r="V15" i="4"/>
  <c r="U15" i="4"/>
  <c r="Q15" i="4"/>
  <c r="P15" i="4"/>
  <c r="L15" i="4"/>
  <c r="K15" i="4"/>
  <c r="Y14" i="4"/>
  <c r="T14" i="4"/>
  <c r="O14" i="4"/>
  <c r="J14" i="4"/>
  <c r="Y13" i="4"/>
  <c r="T13" i="4"/>
  <c r="O13" i="4"/>
  <c r="J13" i="4"/>
  <c r="Y12" i="4"/>
  <c r="T12" i="4"/>
  <c r="O12" i="4"/>
  <c r="J12" i="4"/>
  <c r="Y11" i="4"/>
  <c r="T11" i="4"/>
  <c r="O11" i="4"/>
  <c r="J11" i="4"/>
  <c r="Y10" i="4"/>
  <c r="T10" i="4"/>
  <c r="O10" i="4"/>
  <c r="J10" i="4"/>
  <c r="Y9" i="4"/>
  <c r="T9" i="4"/>
  <c r="O9" i="4"/>
  <c r="J9" i="4"/>
  <c r="Y8" i="4"/>
  <c r="T8" i="4"/>
  <c r="O8" i="4"/>
  <c r="J8" i="4"/>
  <c r="G8" i="4"/>
  <c r="Y7" i="4"/>
  <c r="T7" i="4"/>
  <c r="O7" i="4"/>
  <c r="J7" i="4"/>
  <c r="V43" i="4"/>
  <c r="U43" i="4"/>
  <c r="Q43" i="4"/>
  <c r="P43" i="4"/>
  <c r="L43" i="4"/>
  <c r="K43" i="4"/>
  <c r="T42" i="4"/>
  <c r="O42" i="4"/>
  <c r="T41" i="4"/>
  <c r="O41" i="4"/>
  <c r="J41" i="4"/>
  <c r="T40" i="4"/>
  <c r="O40" i="4"/>
  <c r="J40" i="4"/>
  <c r="T39" i="4"/>
  <c r="O39" i="4"/>
  <c r="J39" i="4"/>
  <c r="T38" i="4"/>
  <c r="O38" i="4"/>
  <c r="J38" i="4"/>
  <c r="T37" i="4"/>
  <c r="O37" i="4"/>
  <c r="J37" i="4"/>
  <c r="T36" i="4"/>
  <c r="O36" i="4"/>
  <c r="J36" i="4"/>
  <c r="G36" i="4"/>
  <c r="T35" i="4"/>
  <c r="O35" i="4"/>
  <c r="J35" i="4"/>
  <c r="AA29" i="4"/>
  <c r="Z29" i="4"/>
  <c r="V29" i="4"/>
  <c r="U29" i="4"/>
  <c r="Q29" i="4"/>
  <c r="P29" i="4"/>
  <c r="L29" i="4"/>
  <c r="K29" i="4"/>
  <c r="Y28" i="4"/>
  <c r="T28" i="4"/>
  <c r="O28" i="4"/>
  <c r="J28" i="4"/>
  <c r="Y27" i="4"/>
  <c r="T27" i="4"/>
  <c r="O27" i="4"/>
  <c r="J27" i="4"/>
  <c r="Y26" i="4"/>
  <c r="T26" i="4"/>
  <c r="O26" i="4"/>
  <c r="J26" i="4"/>
  <c r="Y25" i="4"/>
  <c r="T25" i="4"/>
  <c r="O25" i="4"/>
  <c r="J25" i="4"/>
  <c r="Y24" i="4"/>
  <c r="T24" i="4"/>
  <c r="O24" i="4"/>
  <c r="J24" i="4"/>
  <c r="Y23" i="4"/>
  <c r="T23" i="4"/>
  <c r="O23" i="4"/>
  <c r="J23" i="4"/>
  <c r="Y22" i="4"/>
  <c r="T22" i="4"/>
  <c r="O22" i="4"/>
  <c r="J22" i="4"/>
  <c r="G22" i="4"/>
  <c r="Y21" i="4"/>
  <c r="T21" i="4"/>
  <c r="O21" i="4"/>
  <c r="J21" i="4"/>
  <c r="L69" i="3"/>
  <c r="K69" i="3"/>
  <c r="V56" i="3"/>
  <c r="U56" i="3"/>
  <c r="Q56" i="3"/>
  <c r="P56" i="3"/>
  <c r="L56" i="3"/>
  <c r="K56" i="3"/>
  <c r="J68" i="3"/>
  <c r="T55" i="3"/>
  <c r="O55" i="3"/>
  <c r="J55" i="3"/>
  <c r="J67" i="3"/>
  <c r="T54" i="3"/>
  <c r="O54" i="3"/>
  <c r="J54" i="3"/>
  <c r="J66" i="3"/>
  <c r="T53" i="3"/>
  <c r="O53" i="3"/>
  <c r="J53" i="3"/>
  <c r="J65" i="3"/>
  <c r="T52" i="3"/>
  <c r="O52" i="3"/>
  <c r="J52" i="3"/>
  <c r="J64" i="3"/>
  <c r="T51" i="3"/>
  <c r="O51" i="3"/>
  <c r="J51" i="3"/>
  <c r="J63" i="3"/>
  <c r="T50" i="3"/>
  <c r="O50" i="3"/>
  <c r="J50" i="3"/>
  <c r="J62" i="3"/>
  <c r="T49" i="3"/>
  <c r="O49" i="3"/>
  <c r="J49" i="3"/>
  <c r="G49" i="3"/>
  <c r="J61" i="3"/>
  <c r="T48" i="3"/>
  <c r="O48" i="3"/>
  <c r="J48" i="3"/>
  <c r="Q42" i="3"/>
  <c r="P42" i="3"/>
  <c r="L42" i="3"/>
  <c r="F39" i="3" s="1"/>
  <c r="F41" i="3" s="1"/>
  <c r="K42" i="3"/>
  <c r="E39" i="3" s="1"/>
  <c r="O41" i="3"/>
  <c r="J41" i="3"/>
  <c r="O40" i="3"/>
  <c r="J40" i="3"/>
  <c r="O39" i="3"/>
  <c r="J39" i="3"/>
  <c r="O38" i="3"/>
  <c r="J38" i="3"/>
  <c r="O37" i="3"/>
  <c r="J37" i="3"/>
  <c r="O36" i="3"/>
  <c r="J36" i="3"/>
  <c r="O35" i="3"/>
  <c r="J35" i="3"/>
  <c r="G35" i="3"/>
  <c r="O34" i="3"/>
  <c r="J34" i="3"/>
  <c r="AA43" i="2"/>
  <c r="Z43" i="2"/>
  <c r="V43" i="2"/>
  <c r="U43" i="2"/>
  <c r="Q43" i="2"/>
  <c r="P43" i="2"/>
  <c r="L43" i="2"/>
  <c r="K43" i="2"/>
  <c r="Y42" i="2"/>
  <c r="T42" i="2"/>
  <c r="O42" i="2"/>
  <c r="J42" i="2"/>
  <c r="Y41" i="2"/>
  <c r="T41" i="2"/>
  <c r="O41" i="2"/>
  <c r="J41" i="2"/>
  <c r="Y40" i="2"/>
  <c r="T40" i="2"/>
  <c r="O40" i="2"/>
  <c r="J40" i="2"/>
  <c r="Y39" i="2"/>
  <c r="T39" i="2"/>
  <c r="O39" i="2"/>
  <c r="J39" i="2"/>
  <c r="Y38" i="2"/>
  <c r="T38" i="2"/>
  <c r="O38" i="2"/>
  <c r="J38" i="2"/>
  <c r="Y37" i="2"/>
  <c r="T37" i="2"/>
  <c r="O37" i="2"/>
  <c r="J37" i="2"/>
  <c r="Y36" i="2"/>
  <c r="T36" i="2"/>
  <c r="O36" i="2"/>
  <c r="J36" i="2"/>
  <c r="G36" i="2"/>
  <c r="Y35" i="2"/>
  <c r="T35" i="2"/>
  <c r="O35" i="2"/>
  <c r="J35" i="2"/>
  <c r="P29" i="2"/>
  <c r="F26" i="2"/>
  <c r="K29" i="2"/>
  <c r="E26" i="2" s="1"/>
  <c r="O28" i="2"/>
  <c r="J28" i="2"/>
  <c r="O27" i="2"/>
  <c r="J27" i="2"/>
  <c r="O26" i="2"/>
  <c r="J26" i="2"/>
  <c r="O25" i="2"/>
  <c r="J25" i="2"/>
  <c r="O24" i="2"/>
  <c r="J24" i="2"/>
  <c r="O23" i="2"/>
  <c r="J23" i="2"/>
  <c r="O22" i="2"/>
  <c r="J22" i="2"/>
  <c r="G22" i="2"/>
  <c r="O21" i="2"/>
  <c r="J21" i="2"/>
  <c r="AA113" i="1"/>
  <c r="L113" i="1"/>
  <c r="Q113" i="1"/>
  <c r="V113" i="1"/>
  <c r="Z113" i="1"/>
  <c r="U113" i="1"/>
  <c r="P113" i="1"/>
  <c r="K113" i="1"/>
  <c r="Y112" i="1"/>
  <c r="T112" i="1"/>
  <c r="O112" i="1"/>
  <c r="J112" i="1"/>
  <c r="Y111" i="1"/>
  <c r="T111" i="1"/>
  <c r="O111" i="1"/>
  <c r="J111" i="1"/>
  <c r="Y110" i="1"/>
  <c r="T110" i="1"/>
  <c r="O110" i="1"/>
  <c r="J110" i="1"/>
  <c r="Y109" i="1"/>
  <c r="T109" i="1"/>
  <c r="O109" i="1"/>
  <c r="J109" i="1"/>
  <c r="Y108" i="1"/>
  <c r="T108" i="1"/>
  <c r="O108" i="1"/>
  <c r="J108" i="1"/>
  <c r="Y107" i="1"/>
  <c r="T107" i="1"/>
  <c r="O107" i="1"/>
  <c r="J107" i="1"/>
  <c r="Y106" i="1"/>
  <c r="T106" i="1"/>
  <c r="O106" i="1"/>
  <c r="J106" i="1"/>
  <c r="G106" i="1"/>
  <c r="Y105" i="1"/>
  <c r="T105" i="1"/>
  <c r="O105" i="1"/>
  <c r="J105" i="1"/>
  <c r="F47" i="6" l="1"/>
  <c r="E11" i="6"/>
  <c r="E13" i="6" s="1"/>
  <c r="F79" i="6"/>
  <c r="F81" i="6" s="1"/>
  <c r="F107" i="6"/>
  <c r="F109" i="6" s="1"/>
  <c r="F48" i="3"/>
  <c r="F53" i="3"/>
  <c r="F55" i="3" s="1"/>
  <c r="G49" i="1"/>
  <c r="G51" i="1" s="1"/>
  <c r="G35" i="1"/>
  <c r="G37" i="1" s="1"/>
  <c r="E34" i="7"/>
  <c r="G21" i="1"/>
  <c r="G23" i="1" s="1"/>
  <c r="E91" i="5"/>
  <c r="E93" i="5" s="1"/>
  <c r="G26" i="5"/>
  <c r="G28" i="5" s="1"/>
  <c r="F94" i="3"/>
  <c r="F96" i="3" s="1"/>
  <c r="F52" i="6"/>
  <c r="F54" i="6" s="1"/>
  <c r="E79" i="6"/>
  <c r="E107" i="6"/>
  <c r="E136" i="6"/>
  <c r="F136" i="6"/>
  <c r="E94" i="3"/>
  <c r="F89" i="3"/>
  <c r="F91" i="3" s="1"/>
  <c r="E48" i="3"/>
  <c r="E89" i="3"/>
  <c r="E91" i="3" s="1"/>
  <c r="F50" i="3"/>
  <c r="G108" i="3"/>
  <c r="G110" i="3" s="1"/>
  <c r="E110" i="3"/>
  <c r="F110" i="3"/>
  <c r="E12" i="3"/>
  <c r="E53" i="3"/>
  <c r="E41" i="3"/>
  <c r="G39" i="3"/>
  <c r="G41" i="3" s="1"/>
  <c r="F12" i="3"/>
  <c r="F14" i="3" s="1"/>
  <c r="E82" i="3"/>
  <c r="G80" i="3"/>
  <c r="G82" i="3" s="1"/>
  <c r="F12" i="2"/>
  <c r="F14" i="2" s="1"/>
  <c r="F67" i="2"/>
  <c r="F69" i="2" s="1"/>
  <c r="J70" i="2"/>
  <c r="E67" i="2"/>
  <c r="E69" i="2" s="1"/>
  <c r="O84" i="2"/>
  <c r="F62" i="2"/>
  <c r="F64" i="2" s="1"/>
  <c r="E62" i="2"/>
  <c r="E40" i="2"/>
  <c r="E42" i="2" s="1"/>
  <c r="F81" i="2"/>
  <c r="F40" i="2"/>
  <c r="F42" i="2" s="1"/>
  <c r="F7" i="2"/>
  <c r="F9" i="2" s="1"/>
  <c r="T84" i="2"/>
  <c r="E76" i="2"/>
  <c r="E81" i="2"/>
  <c r="E105" i="5"/>
  <c r="E77" i="5"/>
  <c r="E49" i="5"/>
  <c r="E110" i="5"/>
  <c r="E82" i="5"/>
  <c r="G82" i="5" s="1"/>
  <c r="G84" i="5" s="1"/>
  <c r="E54" i="5"/>
  <c r="G54" i="5" s="1"/>
  <c r="G56" i="5" s="1"/>
  <c r="F68" i="5"/>
  <c r="F70" i="5" s="1"/>
  <c r="E68" i="5"/>
  <c r="E63" i="5"/>
  <c r="G68" i="4"/>
  <c r="G70" i="4" s="1"/>
  <c r="G40" i="1"/>
  <c r="G42" i="1" s="1"/>
  <c r="G63" i="1"/>
  <c r="G65" i="1" s="1"/>
  <c r="G96" i="1"/>
  <c r="G98" i="1" s="1"/>
  <c r="G7" i="1"/>
  <c r="G9" i="1" s="1"/>
  <c r="G77" i="1"/>
  <c r="G79" i="1" s="1"/>
  <c r="F11" i="7"/>
  <c r="F13" i="7" s="1"/>
  <c r="F80" i="7"/>
  <c r="F82" i="7" s="1"/>
  <c r="E11" i="7"/>
  <c r="E80" i="7"/>
  <c r="E82" i="7" s="1"/>
  <c r="E89" i="7"/>
  <c r="F61" i="7"/>
  <c r="F63" i="7" s="1"/>
  <c r="E39" i="7"/>
  <c r="E94" i="7"/>
  <c r="E61" i="7"/>
  <c r="E27" i="7"/>
  <c r="G25" i="7"/>
  <c r="G27" i="7" s="1"/>
  <c r="G66" i="7"/>
  <c r="G68" i="7" s="1"/>
  <c r="E25" i="6"/>
  <c r="G25" i="6" s="1"/>
  <c r="G27" i="6" s="1"/>
  <c r="F11" i="6"/>
  <c r="F13" i="6" s="1"/>
  <c r="E52" i="6"/>
  <c r="G93" i="6"/>
  <c r="G95" i="6" s="1"/>
  <c r="E74" i="6"/>
  <c r="F74" i="6"/>
  <c r="F76" i="6" s="1"/>
  <c r="F105" i="5"/>
  <c r="F110" i="5"/>
  <c r="F63" i="5"/>
  <c r="F65" i="5" s="1"/>
  <c r="E96" i="5"/>
  <c r="F12" i="5"/>
  <c r="F14" i="5" s="1"/>
  <c r="F35" i="5"/>
  <c r="F37" i="5" s="1"/>
  <c r="F40" i="5"/>
  <c r="F42" i="5" s="1"/>
  <c r="E12" i="5"/>
  <c r="E35" i="5"/>
  <c r="E40" i="5"/>
  <c r="F49" i="5"/>
  <c r="F51" i="5" s="1"/>
  <c r="E77" i="4"/>
  <c r="E12" i="4"/>
  <c r="E14" i="4" s="1"/>
  <c r="E54" i="4"/>
  <c r="F49" i="4"/>
  <c r="F51" i="4" s="1"/>
  <c r="E26" i="4"/>
  <c r="E40" i="4"/>
  <c r="F12" i="4"/>
  <c r="F14" i="4" s="1"/>
  <c r="F54" i="4"/>
  <c r="F56" i="4" s="1"/>
  <c r="F63" i="4"/>
  <c r="F65" i="4" s="1"/>
  <c r="F26" i="4"/>
  <c r="F28" i="4" s="1"/>
  <c r="F40" i="4"/>
  <c r="F42" i="4" s="1"/>
  <c r="E49" i="4"/>
  <c r="E51" i="4" s="1"/>
  <c r="J71" i="4"/>
  <c r="E82" i="4"/>
  <c r="E63" i="4"/>
  <c r="F82" i="4"/>
  <c r="F39" i="7"/>
  <c r="E129" i="6"/>
  <c r="G134" i="6"/>
  <c r="G136" i="6" s="1"/>
  <c r="G26" i="2"/>
  <c r="G28" i="2" s="1"/>
  <c r="F28" i="2"/>
  <c r="E7" i="2"/>
  <c r="E9" i="2" s="1"/>
  <c r="E12" i="2"/>
  <c r="O56" i="2"/>
  <c r="J56" i="2"/>
  <c r="F35" i="2"/>
  <c r="F37" i="2" s="1"/>
  <c r="E35" i="2"/>
  <c r="E37" i="2" s="1"/>
  <c r="F77" i="5"/>
  <c r="F79" i="5" s="1"/>
  <c r="F56" i="5"/>
  <c r="G119" i="1"/>
  <c r="G121" i="1" s="1"/>
  <c r="G91" i="1"/>
  <c r="G93" i="1" s="1"/>
  <c r="E110" i="1"/>
  <c r="E137" i="1" s="1"/>
  <c r="F110" i="1"/>
  <c r="F112" i="1" s="1"/>
  <c r="G124" i="1"/>
  <c r="G126" i="1" s="1"/>
  <c r="Y110" i="6"/>
  <c r="T110" i="6"/>
  <c r="F129" i="6"/>
  <c r="Y82" i="6"/>
  <c r="E47" i="6"/>
  <c r="E49" i="6" s="1"/>
  <c r="O96" i="6"/>
  <c r="E88" i="6"/>
  <c r="E90" i="6" s="1"/>
  <c r="T82" i="6"/>
  <c r="O82" i="6"/>
  <c r="J82" i="6"/>
  <c r="O68" i="6"/>
  <c r="O14" i="6"/>
  <c r="T137" i="6"/>
  <c r="O137" i="6"/>
  <c r="J137" i="6"/>
  <c r="F102" i="6"/>
  <c r="F104" i="6" s="1"/>
  <c r="J123" i="6"/>
  <c r="E102" i="6"/>
  <c r="O110" i="6"/>
  <c r="J110" i="6"/>
  <c r="Y96" i="6"/>
  <c r="T96" i="6"/>
  <c r="F88" i="6"/>
  <c r="F90" i="6" s="1"/>
  <c r="J96" i="6"/>
  <c r="T68" i="6"/>
  <c r="J68" i="6"/>
  <c r="F49" i="6"/>
  <c r="Y55" i="6"/>
  <c r="O41" i="6"/>
  <c r="J41" i="6"/>
  <c r="E20" i="6"/>
  <c r="F20" i="6"/>
  <c r="F22" i="6" s="1"/>
  <c r="F91" i="5"/>
  <c r="F93" i="5" s="1"/>
  <c r="O99" i="5"/>
  <c r="Y57" i="5"/>
  <c r="T57" i="5"/>
  <c r="Y113" i="5"/>
  <c r="T113" i="5"/>
  <c r="O113" i="5"/>
  <c r="J113" i="5"/>
  <c r="J99" i="5"/>
  <c r="O85" i="5"/>
  <c r="J85" i="5"/>
  <c r="Y71" i="5"/>
  <c r="T71" i="5"/>
  <c r="O71" i="5"/>
  <c r="J71" i="5"/>
  <c r="O57" i="5"/>
  <c r="J57" i="5"/>
  <c r="J43" i="5"/>
  <c r="O15" i="5"/>
  <c r="Y85" i="4"/>
  <c r="T85" i="4"/>
  <c r="F77" i="4"/>
  <c r="O85" i="4"/>
  <c r="J85" i="4"/>
  <c r="T71" i="4"/>
  <c r="O71" i="4"/>
  <c r="T57" i="4"/>
  <c r="O57" i="4"/>
  <c r="J57" i="4"/>
  <c r="Y15" i="4"/>
  <c r="E7" i="4"/>
  <c r="E9" i="4" s="1"/>
  <c r="F7" i="4"/>
  <c r="F9" i="4" s="1"/>
  <c r="T43" i="4"/>
  <c r="O43" i="4"/>
  <c r="E35" i="4"/>
  <c r="Y29" i="4"/>
  <c r="F21" i="4"/>
  <c r="F23" i="4" s="1"/>
  <c r="O15" i="4"/>
  <c r="J15" i="4"/>
  <c r="J97" i="7"/>
  <c r="T83" i="7"/>
  <c r="E75" i="7"/>
  <c r="E77" i="7" s="1"/>
  <c r="F75" i="7"/>
  <c r="F77" i="7" s="1"/>
  <c r="O69" i="7"/>
  <c r="O97" i="7"/>
  <c r="F89" i="7"/>
  <c r="Y83" i="7"/>
  <c r="O83" i="7"/>
  <c r="J83" i="7"/>
  <c r="J69" i="7"/>
  <c r="O55" i="7"/>
  <c r="J55" i="7"/>
  <c r="Y42" i="7"/>
  <c r="T42" i="7"/>
  <c r="O42" i="7"/>
  <c r="E6" i="7"/>
  <c r="F75" i="3"/>
  <c r="F77" i="3" s="1"/>
  <c r="O69" i="3"/>
  <c r="J69" i="3"/>
  <c r="F7" i="3"/>
  <c r="F9" i="3" s="1"/>
  <c r="J56" i="3"/>
  <c r="E7" i="3"/>
  <c r="E9" i="3" s="1"/>
  <c r="E103" i="3"/>
  <c r="F103" i="3"/>
  <c r="O97" i="3"/>
  <c r="J97" i="3"/>
  <c r="E75" i="3"/>
  <c r="O42" i="3"/>
  <c r="E34" i="3"/>
  <c r="E36" i="3" s="1"/>
  <c r="J28" i="3"/>
  <c r="O15" i="3"/>
  <c r="F76" i="2"/>
  <c r="J84" i="2"/>
  <c r="Y84" i="2"/>
  <c r="Y70" i="2"/>
  <c r="O70" i="2"/>
  <c r="T70" i="2"/>
  <c r="T15" i="2"/>
  <c r="J15" i="2"/>
  <c r="T55" i="6"/>
  <c r="Y14" i="6"/>
  <c r="E6" i="6"/>
  <c r="E8" i="6" s="1"/>
  <c r="T28" i="6"/>
  <c r="J55" i="6"/>
  <c r="F6" i="6"/>
  <c r="F8" i="6" s="1"/>
  <c r="T14" i="6"/>
  <c r="J14" i="6"/>
  <c r="O55" i="6"/>
  <c r="J28" i="6"/>
  <c r="O28" i="6"/>
  <c r="Y28" i="6"/>
  <c r="E7" i="5"/>
  <c r="E9" i="5" s="1"/>
  <c r="F21" i="5"/>
  <c r="F23" i="5" s="1"/>
  <c r="Y15" i="5"/>
  <c r="F7" i="5"/>
  <c r="F9" i="5" s="1"/>
  <c r="J29" i="5"/>
  <c r="J15" i="5"/>
  <c r="T15" i="5"/>
  <c r="O29" i="5"/>
  <c r="O43" i="5"/>
  <c r="T29" i="5"/>
  <c r="E21" i="5"/>
  <c r="F34" i="7"/>
  <c r="F36" i="7" s="1"/>
  <c r="O14" i="7"/>
  <c r="F6" i="7"/>
  <c r="F8" i="7" s="1"/>
  <c r="J42" i="7"/>
  <c r="E20" i="7"/>
  <c r="E22" i="7" s="1"/>
  <c r="F20" i="7"/>
  <c r="F22" i="7" s="1"/>
  <c r="J14" i="7"/>
  <c r="O29" i="4"/>
  <c r="J29" i="4"/>
  <c r="J43" i="4"/>
  <c r="E21" i="4"/>
  <c r="E23" i="4" s="1"/>
  <c r="T29" i="4"/>
  <c r="F35" i="4"/>
  <c r="F37" i="4" s="1"/>
  <c r="T15" i="4"/>
  <c r="F34" i="3"/>
  <c r="F36" i="3" s="1"/>
  <c r="O83" i="3"/>
  <c r="T111" i="3"/>
  <c r="J42" i="3"/>
  <c r="T97" i="3"/>
  <c r="J15" i="3"/>
  <c r="Y97" i="3"/>
  <c r="O56" i="3"/>
  <c r="J111" i="3"/>
  <c r="T56" i="3"/>
  <c r="T15" i="3"/>
  <c r="O111" i="3"/>
  <c r="T28" i="3"/>
  <c r="O28" i="3"/>
  <c r="J83" i="3"/>
  <c r="Y15" i="2"/>
  <c r="O15" i="2"/>
  <c r="O43" i="2"/>
  <c r="T43" i="2"/>
  <c r="Y43" i="2"/>
  <c r="O29" i="2"/>
  <c r="J43" i="2"/>
  <c r="E21" i="2"/>
  <c r="F21" i="2"/>
  <c r="F23" i="2" s="1"/>
  <c r="J29" i="2"/>
  <c r="F105" i="1"/>
  <c r="F107" i="1" s="1"/>
  <c r="E105" i="1"/>
  <c r="E132" i="1" s="1"/>
  <c r="Y113" i="1"/>
  <c r="J113" i="1"/>
  <c r="O113" i="1"/>
  <c r="T113" i="1"/>
  <c r="G68" i="5" l="1"/>
  <c r="G70" i="5" s="1"/>
  <c r="G107" i="6"/>
  <c r="G109" i="6" s="1"/>
  <c r="G79" i="6"/>
  <c r="G81" i="6" s="1"/>
  <c r="G94" i="3"/>
  <c r="G96" i="3" s="1"/>
  <c r="G11" i="7"/>
  <c r="G13" i="7" s="1"/>
  <c r="E95" i="4"/>
  <c r="E97" i="4" s="1"/>
  <c r="G40" i="5"/>
  <c r="G42" i="5" s="1"/>
  <c r="E96" i="3"/>
  <c r="G11" i="6"/>
  <c r="G13" i="6" s="1"/>
  <c r="F146" i="6"/>
  <c r="F148" i="6" s="1"/>
  <c r="E146" i="6"/>
  <c r="E131" i="6"/>
  <c r="E141" i="6"/>
  <c r="F131" i="6"/>
  <c r="F141" i="6"/>
  <c r="F143" i="6" s="1"/>
  <c r="F121" i="3"/>
  <c r="F123" i="3" s="1"/>
  <c r="E121" i="3"/>
  <c r="E123" i="3" s="1"/>
  <c r="F116" i="3"/>
  <c r="F118" i="3" s="1"/>
  <c r="F105" i="3"/>
  <c r="E14" i="3"/>
  <c r="G12" i="3"/>
  <c r="G14" i="3" s="1"/>
  <c r="E116" i="3"/>
  <c r="G53" i="3"/>
  <c r="G55" i="3" s="1"/>
  <c r="G67" i="2"/>
  <c r="G69" i="2" s="1"/>
  <c r="G40" i="2"/>
  <c r="G42" i="2" s="1"/>
  <c r="F83" i="2"/>
  <c r="F93" i="2"/>
  <c r="F95" i="2" s="1"/>
  <c r="E88" i="2"/>
  <c r="E78" i="2"/>
  <c r="F88" i="2"/>
  <c r="F90" i="2" s="1"/>
  <c r="F78" i="2"/>
  <c r="E83" i="2"/>
  <c r="E93" i="2"/>
  <c r="G81" i="2"/>
  <c r="G83" i="2" s="1"/>
  <c r="E64" i="2"/>
  <c r="G62" i="2"/>
  <c r="G64" i="2" s="1"/>
  <c r="G35" i="5"/>
  <c r="G37" i="5" s="1"/>
  <c r="E118" i="5"/>
  <c r="E120" i="5" s="1"/>
  <c r="F123" i="5"/>
  <c r="F118" i="5"/>
  <c r="E123" i="5"/>
  <c r="F90" i="4"/>
  <c r="F92" i="4" s="1"/>
  <c r="E90" i="4"/>
  <c r="F84" i="4"/>
  <c r="F95" i="4"/>
  <c r="F97" i="4" s="1"/>
  <c r="E106" i="7"/>
  <c r="E108" i="7" s="1"/>
  <c r="F132" i="1"/>
  <c r="F137" i="1"/>
  <c r="G80" i="7"/>
  <c r="G82" i="7" s="1"/>
  <c r="G61" i="7"/>
  <c r="G63" i="7" s="1"/>
  <c r="G94" i="7"/>
  <c r="G96" i="7" s="1"/>
  <c r="G39" i="7"/>
  <c r="G41" i="7" s="1"/>
  <c r="F101" i="7"/>
  <c r="F103" i="7" s="1"/>
  <c r="F91" i="7"/>
  <c r="E101" i="7"/>
  <c r="F106" i="7"/>
  <c r="G74" i="6"/>
  <c r="G76" i="6" s="1"/>
  <c r="E54" i="6"/>
  <c r="G52" i="6"/>
  <c r="G54" i="6" s="1"/>
  <c r="F107" i="5"/>
  <c r="E14" i="5"/>
  <c r="G12" i="5"/>
  <c r="G14" i="5" s="1"/>
  <c r="G63" i="5"/>
  <c r="G65" i="5" s="1"/>
  <c r="G49" i="5"/>
  <c r="G51" i="5" s="1"/>
  <c r="G96" i="5"/>
  <c r="G98" i="5" s="1"/>
  <c r="E98" i="5"/>
  <c r="G105" i="5"/>
  <c r="G107" i="5" s="1"/>
  <c r="F112" i="5"/>
  <c r="G110" i="5"/>
  <c r="G112" i="5" s="1"/>
  <c r="G54" i="4"/>
  <c r="G56" i="4" s="1"/>
  <c r="G63" i="4"/>
  <c r="G65" i="4" s="1"/>
  <c r="E56" i="4"/>
  <c r="G96" i="4" s="1"/>
  <c r="G12" i="4"/>
  <c r="G14" i="4" s="1"/>
  <c r="G49" i="4"/>
  <c r="G51" i="4" s="1"/>
  <c r="G82" i="4"/>
  <c r="G84" i="4" s="1"/>
  <c r="G77" i="4"/>
  <c r="G79" i="4" s="1"/>
  <c r="F79" i="4"/>
  <c r="G40" i="4"/>
  <c r="G42" i="4" s="1"/>
  <c r="G26" i="4"/>
  <c r="G28" i="4" s="1"/>
  <c r="E28" i="4"/>
  <c r="F41" i="7"/>
  <c r="G12" i="2"/>
  <c r="G14" i="2" s="1"/>
  <c r="E14" i="2"/>
  <c r="G77" i="5"/>
  <c r="G79" i="5" s="1"/>
  <c r="G110" i="1"/>
  <c r="G112" i="1" s="1"/>
  <c r="G129" i="6"/>
  <c r="G131" i="6" s="1"/>
  <c r="G47" i="6"/>
  <c r="G49" i="6" s="1"/>
  <c r="G102" i="6"/>
  <c r="G104" i="6" s="1"/>
  <c r="G88" i="6"/>
  <c r="G90" i="6" s="1"/>
  <c r="G91" i="5"/>
  <c r="G93" i="5" s="1"/>
  <c r="G21" i="5"/>
  <c r="G23" i="5" s="1"/>
  <c r="G7" i="5"/>
  <c r="G9" i="5" s="1"/>
  <c r="G35" i="4"/>
  <c r="G37" i="4" s="1"/>
  <c r="G7" i="4"/>
  <c r="G9" i="4" s="1"/>
  <c r="G21" i="4"/>
  <c r="G23" i="4" s="1"/>
  <c r="G89" i="7"/>
  <c r="G91" i="7" s="1"/>
  <c r="G75" i="7"/>
  <c r="G77" i="7" s="1"/>
  <c r="G48" i="3"/>
  <c r="G50" i="3" s="1"/>
  <c r="G75" i="3"/>
  <c r="G77" i="3" s="1"/>
  <c r="G89" i="3"/>
  <c r="G91" i="3" s="1"/>
  <c r="G103" i="3"/>
  <c r="G105" i="3" s="1"/>
  <c r="G7" i="3"/>
  <c r="G9" i="3" s="1"/>
  <c r="G34" i="3"/>
  <c r="G36" i="3" s="1"/>
  <c r="G76" i="2"/>
  <c r="G78" i="2" s="1"/>
  <c r="G7" i="2"/>
  <c r="G9" i="2" s="1"/>
  <c r="G6" i="6"/>
  <c r="G8" i="6" s="1"/>
  <c r="G20" i="6"/>
  <c r="G22" i="6" s="1"/>
  <c r="G34" i="7"/>
  <c r="G36" i="7" s="1"/>
  <c r="G6" i="7"/>
  <c r="G8" i="7" s="1"/>
  <c r="G20" i="7"/>
  <c r="G22" i="7" s="1"/>
  <c r="G35" i="2"/>
  <c r="G37" i="2" s="1"/>
  <c r="G21" i="2"/>
  <c r="G23" i="2" s="1"/>
  <c r="G105" i="1"/>
  <c r="G107" i="1" s="1"/>
  <c r="G123" i="5" l="1"/>
  <c r="G146" i="6"/>
  <c r="G148" i="6" s="1"/>
  <c r="G121" i="3"/>
  <c r="G123" i="3" s="1"/>
  <c r="G141" i="6"/>
  <c r="G143" i="6" s="1"/>
  <c r="G116" i="3"/>
  <c r="G118" i="3" s="1"/>
  <c r="E118" i="3"/>
  <c r="E90" i="2"/>
  <c r="G88" i="2"/>
  <c r="G90" i="2" s="1"/>
  <c r="E95" i="2"/>
  <c r="G93" i="2"/>
  <c r="G95" i="2" s="1"/>
  <c r="G90" i="4"/>
  <c r="G92" i="4" s="1"/>
  <c r="E92" i="4"/>
  <c r="G95" i="4"/>
  <c r="G97" i="4" s="1"/>
  <c r="F134" i="1"/>
  <c r="G132" i="1"/>
  <c r="G134" i="1" s="1"/>
  <c r="F139" i="1"/>
  <c r="G137" i="1"/>
  <c r="G139" i="1" s="1"/>
  <c r="G106" i="7"/>
  <c r="G108" i="7" s="1"/>
  <c r="F108" i="7"/>
  <c r="G101" i="7"/>
  <c r="G103" i="7" s="1"/>
  <c r="E103" i="7"/>
  <c r="E148" i="6"/>
  <c r="E143" i="6"/>
  <c r="E125" i="5"/>
  <c r="F125" i="5"/>
  <c r="G125" i="5"/>
  <c r="F120" i="5"/>
  <c r="G118" i="5"/>
  <c r="G120" i="5" s="1"/>
</calcChain>
</file>

<file path=xl/sharedStrings.xml><?xml version="1.0" encoding="utf-8"?>
<sst xmlns="http://schemas.openxmlformats.org/spreadsheetml/2006/main" count="2815" uniqueCount="92">
  <si>
    <t>Straße</t>
  </si>
  <si>
    <t>Buchengasse</t>
  </si>
  <si>
    <t>Karmarschgasse</t>
  </si>
  <si>
    <t>Rotenhofgasse</t>
  </si>
  <si>
    <t>Neilreichgasse</t>
  </si>
  <si>
    <t>N</t>
  </si>
  <si>
    <t>W</t>
  </si>
  <si>
    <t>S</t>
  </si>
  <si>
    <t>O</t>
  </si>
  <si>
    <t>Geschoss</t>
  </si>
  <si>
    <t>Dach</t>
  </si>
  <si>
    <t>Orientierung</t>
  </si>
  <si>
    <t>Position</t>
  </si>
  <si>
    <t>Alle</t>
  </si>
  <si>
    <t>Innen</t>
  </si>
  <si>
    <t>Außen</t>
  </si>
  <si>
    <t>Validiert</t>
  </si>
  <si>
    <t>Vorhersagen</t>
  </si>
  <si>
    <t>Total</t>
  </si>
  <si>
    <t>Muhrengasse</t>
  </si>
  <si>
    <t>Angeligasse</t>
  </si>
  <si>
    <t>Inzersdorfer Straße</t>
  </si>
  <si>
    <t>Schröttergasse</t>
  </si>
  <si>
    <t>Laaer-Berg-Straße</t>
  </si>
  <si>
    <t>Waldgasse</t>
  </si>
  <si>
    <t>Fernkorngasse</t>
  </si>
  <si>
    <t xml:space="preserve">Rotenhofgasse </t>
  </si>
  <si>
    <t>34-36</t>
  </si>
  <si>
    <t>Van-Der-Nüll-Gasse</t>
  </si>
  <si>
    <t>Leebgasse</t>
  </si>
  <si>
    <t>Quellenstraße</t>
  </si>
  <si>
    <t>Landgutgasse</t>
  </si>
  <si>
    <t>Jagdgasse</t>
  </si>
  <si>
    <t>1C</t>
  </si>
  <si>
    <t>1D</t>
  </si>
  <si>
    <t>Laxenburger Straße</t>
  </si>
  <si>
    <t>8-10</t>
  </si>
  <si>
    <t>Total Straße</t>
  </si>
  <si>
    <t>Straße+Hof</t>
  </si>
  <si>
    <t>nur Straße</t>
  </si>
  <si>
    <t>Min/Max Ratio</t>
  </si>
  <si>
    <t>Hof &amp; Straße</t>
  </si>
  <si>
    <t xml:space="preserve">Buchengasse </t>
  </si>
  <si>
    <t xml:space="preserve">Total </t>
  </si>
  <si>
    <t>Baum</t>
  </si>
  <si>
    <t>Innenhofgeometrie</t>
  </si>
  <si>
    <t>obere etagen</t>
  </si>
  <si>
    <t>Bäume</t>
  </si>
  <si>
    <t>Obere Etagen</t>
  </si>
  <si>
    <t>Loggien</t>
  </si>
  <si>
    <t>Blockbilanz - Block E_Mu-Co-An-In</t>
  </si>
  <si>
    <t>Blockbilanz - Block F_Re-Pu-Wa-La</t>
  </si>
  <si>
    <t>Blockbilanz - Block G_La-La-Ja-Da</t>
  </si>
  <si>
    <t>Blockbilanz - Block A_Ka-Fe-Ro-Bu</t>
  </si>
  <si>
    <t>Blockbilanz - Block C_Va-Bu-Le-Que</t>
  </si>
  <si>
    <t>Blockbilanz - Block D_Schrö-Le-Si-In</t>
  </si>
  <si>
    <t>GESAMTBILANZ</t>
  </si>
  <si>
    <t>Innenhof -geometrie</t>
  </si>
  <si>
    <t>Innenhof- geometrie</t>
  </si>
  <si>
    <t>Inenhof-geometrie</t>
  </si>
  <si>
    <t>KF</t>
  </si>
  <si>
    <t>Nicht-KF</t>
  </si>
  <si>
    <t>Nicht -KF</t>
  </si>
  <si>
    <t>KF Straße</t>
  </si>
  <si>
    <t>Nicht-KF Straße</t>
  </si>
  <si>
    <t>moderne KFtypen</t>
  </si>
  <si>
    <t>gesamt</t>
  </si>
  <si>
    <t>Innenhof-geometrie</t>
  </si>
  <si>
    <t>Haus-nummer</t>
  </si>
  <si>
    <t>Schrötter-gasse</t>
  </si>
  <si>
    <t>Siccardsburg-gasse</t>
  </si>
  <si>
    <t>Bau-gerüst</t>
  </si>
  <si>
    <t>Columbus-gasse</t>
  </si>
  <si>
    <t>Puchsbaum-gasse</t>
  </si>
  <si>
    <t>Puchshbaum-gasse</t>
  </si>
  <si>
    <t>moderne KF-Typen</t>
  </si>
  <si>
    <t>Moderne KF-typen</t>
  </si>
  <si>
    <t>Fassade Nr.</t>
  </si>
  <si>
    <t>Blockbilanz - Block B_Bu-Ka-Ne-Ro</t>
  </si>
  <si>
    <t>a</t>
  </si>
  <si>
    <t>A_Ka-Fe-Ro-Bu</t>
  </si>
  <si>
    <t>B_Bu-Ka-Ne-Ro</t>
  </si>
  <si>
    <t>C_Va-Bu-Le-Que</t>
  </si>
  <si>
    <t>D_Schrö-Le-Si-In</t>
  </si>
  <si>
    <t>E_Mu-Co-An-In</t>
  </si>
  <si>
    <t>G_La-La-Ja-Da</t>
  </si>
  <si>
    <t>F_Re-Pu-Wa-La</t>
  </si>
  <si>
    <t>dedup</t>
  </si>
  <si>
    <t>bäume</t>
  </si>
  <si>
    <t xml:space="preserve"> Innenhofgeometrie</t>
  </si>
  <si>
    <t>Deduplizierung</t>
  </si>
  <si>
    <t>Baugerüst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</si>
</sst>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2"/>
      <color theme="1"/>
      <name val="Aptos Narrow"/>
      <family val="2"/>
      <scheme val="minor"/>
    </font>
    <font>
      <sz val="12"/>
      <color theme="1"/>
      <name val="Aptos Narrow"/>
      <family val="2"/>
      <scheme val="minor"/>
    </font>
    <font>
      <sz val="11"/>
      <color rgb="FF7C2927"/>
      <name val="Book Antiqua"/>
      <family val="1"/>
    </font>
    <font>
      <b/>
      <sz val="11"/>
      <color rgb="FF7C2927"/>
      <name val="Book Antiqua"/>
      <family val="1"/>
    </font>
    <font>
      <sz val="12"/>
      <color rgb="FF7C2927"/>
      <name val="Book Antiqua"/>
      <family val="1"/>
    </font>
  </fonts>
  <fills count="2">
    <fill>
      <patternFill patternType="none"/>
    </fill>
    <fill>
      <patternFill patternType="gray125"/>
    </fill>
  </fills>
  <borders count="23">
    <border>
      <left/>
      <right/>
      <top/>
      <bottom/>
      <diagonal/>
    </border>
    <border>
      <left style="medium">
        <color rgb="FF7C2927"/>
      </left>
      <right/>
      <top/>
      <bottom/>
      <diagonal/>
    </border>
    <border>
      <left style="medium">
        <color rgb="FF7C2927"/>
      </left>
      <right/>
      <top style="medium">
        <color rgb="FF7C2927"/>
      </top>
      <bottom/>
      <diagonal/>
    </border>
    <border>
      <left/>
      <right/>
      <top style="medium">
        <color rgb="FF7C2927"/>
      </top>
      <bottom/>
      <diagonal/>
    </border>
    <border>
      <left style="thin">
        <color rgb="FF7C2927"/>
      </left>
      <right style="thin">
        <color rgb="FF7C2927"/>
      </right>
      <top style="thin">
        <color rgb="FF7C2927"/>
      </top>
      <bottom style="thin">
        <color rgb="FF7C2927"/>
      </bottom>
      <diagonal/>
    </border>
    <border>
      <left style="medium">
        <color rgb="FF7C2927"/>
      </left>
      <right/>
      <top style="thin">
        <color rgb="FF7C2927"/>
      </top>
      <bottom/>
      <diagonal/>
    </border>
    <border>
      <left style="thin">
        <color rgb="FF7C2927"/>
      </left>
      <right/>
      <top style="thin">
        <color rgb="FF7C2927"/>
      </top>
      <bottom/>
      <diagonal/>
    </border>
    <border>
      <left style="thin">
        <color rgb="FF7C2927"/>
      </left>
      <right/>
      <top/>
      <bottom/>
      <diagonal/>
    </border>
    <border>
      <left style="medium">
        <color rgb="FF7C2927"/>
      </left>
      <right/>
      <top style="thin">
        <color rgb="FF7C2927"/>
      </top>
      <bottom style="medium">
        <color rgb="FF7C2927"/>
      </bottom>
      <diagonal/>
    </border>
    <border>
      <left style="thin">
        <color rgb="FF7C2927"/>
      </left>
      <right/>
      <top style="thin">
        <color rgb="FF7C2927"/>
      </top>
      <bottom style="medium">
        <color rgb="FF7C2927"/>
      </bottom>
      <diagonal/>
    </border>
    <border>
      <left style="thick">
        <color rgb="FF7C2927"/>
      </left>
      <right/>
      <top/>
      <bottom/>
      <diagonal/>
    </border>
    <border>
      <left style="thick">
        <color rgb="FF7C2927"/>
      </left>
      <right/>
      <top style="thick">
        <color rgb="FF7C2927"/>
      </top>
      <bottom/>
      <diagonal/>
    </border>
    <border>
      <left/>
      <right/>
      <top style="thick">
        <color rgb="FF7C2927"/>
      </top>
      <bottom/>
      <diagonal/>
    </border>
    <border>
      <left style="thin">
        <color rgb="FF7C2927"/>
      </left>
      <right style="thick">
        <color rgb="FF7C2927"/>
      </right>
      <top style="thin">
        <color rgb="FF7C2927"/>
      </top>
      <bottom style="thin">
        <color rgb="FF7C2927"/>
      </bottom>
      <diagonal/>
    </border>
    <border>
      <left style="thick">
        <color rgb="FF7C2927"/>
      </left>
      <right/>
      <top style="thin">
        <color rgb="FF7C2927"/>
      </top>
      <bottom/>
      <diagonal/>
    </border>
    <border>
      <left style="thick">
        <color rgb="FF7C2927"/>
      </left>
      <right/>
      <top style="thin">
        <color rgb="FF7C2927"/>
      </top>
      <bottom style="thick">
        <color rgb="FF7C2927"/>
      </bottom>
      <diagonal/>
    </border>
    <border>
      <left style="thin">
        <color rgb="FF7C2927"/>
      </left>
      <right/>
      <top style="thin">
        <color rgb="FF7C2927"/>
      </top>
      <bottom style="thick">
        <color rgb="FF7C2927"/>
      </bottom>
      <diagonal/>
    </border>
    <border>
      <left/>
      <right/>
      <top/>
      <bottom style="thin">
        <color rgb="FF7C2927"/>
      </bottom>
      <diagonal/>
    </border>
    <border>
      <left/>
      <right/>
      <top style="thin">
        <color rgb="FF7C2927"/>
      </top>
      <bottom/>
      <diagonal/>
    </border>
    <border>
      <left style="thin">
        <color rgb="FF7C2927"/>
      </left>
      <right style="thin">
        <color rgb="FF7C2927"/>
      </right>
      <top style="thin">
        <color rgb="FF7C2927"/>
      </top>
      <bottom/>
      <diagonal/>
    </border>
    <border>
      <left style="thin">
        <color rgb="FF7C2927"/>
      </left>
      <right style="thick">
        <color rgb="FF7C2927"/>
      </right>
      <top style="thin">
        <color rgb="FF7C2927"/>
      </top>
      <bottom/>
      <diagonal/>
    </border>
    <border>
      <left/>
      <right style="thick">
        <color rgb="FF7C2927"/>
      </right>
      <top style="medium">
        <color rgb="FF7C2927"/>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92">
    <xf numFmtId="0" fontId="0" fillId="0" borderId="0" xfId="0"/>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164" fontId="2" fillId="0" borderId="0" xfId="1" applyNumberFormat="1" applyFont="1" applyBorder="1" applyAlignment="1">
      <alignment wrapText="1"/>
    </xf>
    <xf numFmtId="0" fontId="2" fillId="0" borderId="0" xfId="0" applyFont="1" applyAlignment="1">
      <alignment horizontal="right" wrapText="1"/>
    </xf>
    <xf numFmtId="0" fontId="2" fillId="0" borderId="0" xfId="0" applyFont="1"/>
    <xf numFmtId="0" fontId="2" fillId="0" borderId="0" xfId="0" applyFont="1" applyAlignment="1">
      <alignment horizontal="center"/>
    </xf>
    <xf numFmtId="0" fontId="2" fillId="0" borderId="0" xfId="0" applyFont="1" applyAlignment="1">
      <alignment horizontal="right"/>
    </xf>
    <xf numFmtId="0" fontId="4" fillId="0" borderId="0" xfId="0" applyFont="1" applyAlignment="1">
      <alignment wrapText="1"/>
    </xf>
    <xf numFmtId="0" fontId="4" fillId="0" borderId="0" xfId="0" applyFont="1" applyAlignment="1">
      <alignment horizontal="center" wrapText="1"/>
    </xf>
    <xf numFmtId="0" fontId="4" fillId="0" borderId="0" xfId="0" applyFont="1"/>
    <xf numFmtId="0" fontId="4" fillId="0" borderId="0" xfId="0" applyFont="1" applyAlignment="1">
      <alignment horizontal="center"/>
    </xf>
    <xf numFmtId="16" fontId="2" fillId="0" borderId="0" xfId="0" applyNumberFormat="1" applyFont="1" applyAlignment="1">
      <alignment horizontal="center" wrapText="1"/>
    </xf>
    <xf numFmtId="49" fontId="2" fillId="0" borderId="0" xfId="0" applyNumberFormat="1" applyFont="1" applyAlignment="1">
      <alignment horizontal="center" wrapText="1"/>
    </xf>
    <xf numFmtId="0" fontId="2" fillId="0" borderId="1" xfId="0" applyFont="1" applyBorder="1"/>
    <xf numFmtId="0" fontId="2" fillId="0" borderId="4" xfId="0" applyFont="1" applyBorder="1"/>
    <xf numFmtId="0" fontId="2" fillId="0" borderId="4" xfId="0" applyFont="1" applyBorder="1" applyAlignment="1">
      <alignment wrapText="1"/>
    </xf>
    <xf numFmtId="0" fontId="2" fillId="0" borderId="5" xfId="0" applyFont="1" applyBorder="1"/>
    <xf numFmtId="0" fontId="2" fillId="0" borderId="6" xfId="0" applyFont="1" applyBorder="1"/>
    <xf numFmtId="0" fontId="2" fillId="0" borderId="6" xfId="0" applyFont="1" applyBorder="1" applyAlignment="1">
      <alignment wrapText="1"/>
    </xf>
    <xf numFmtId="0" fontId="2" fillId="0" borderId="7" xfId="0" applyFont="1" applyBorder="1"/>
    <xf numFmtId="164" fontId="2" fillId="0" borderId="6" xfId="1" applyNumberFormat="1" applyFont="1" applyBorder="1"/>
    <xf numFmtId="0" fontId="2" fillId="0" borderId="8" xfId="0" applyFont="1" applyBorder="1"/>
    <xf numFmtId="164" fontId="2" fillId="0" borderId="9" xfId="1" applyNumberFormat="1" applyFont="1" applyBorder="1"/>
    <xf numFmtId="0" fontId="2" fillId="0" borderId="3" xfId="0" applyFont="1" applyBorder="1"/>
    <xf numFmtId="0" fontId="2" fillId="0" borderId="10" xfId="0" applyFont="1" applyBorder="1"/>
    <xf numFmtId="0" fontId="2" fillId="0" borderId="13" xfId="0" applyFont="1" applyBorder="1"/>
    <xf numFmtId="0" fontId="2" fillId="0" borderId="14" xfId="0" applyFont="1" applyBorder="1"/>
    <xf numFmtId="164" fontId="2" fillId="0" borderId="13" xfId="1" applyNumberFormat="1" applyFont="1" applyBorder="1"/>
    <xf numFmtId="0" fontId="2" fillId="0" borderId="15" xfId="0" applyFont="1" applyBorder="1"/>
    <xf numFmtId="164" fontId="2" fillId="0" borderId="16" xfId="1" applyNumberFormat="1" applyFont="1" applyBorder="1"/>
    <xf numFmtId="0" fontId="2" fillId="0" borderId="17" xfId="0" applyFont="1" applyBorder="1" applyAlignment="1">
      <alignment wrapText="1"/>
    </xf>
    <xf numFmtId="0" fontId="2" fillId="0" borderId="7" xfId="0" applyFont="1" applyBorder="1" applyAlignment="1">
      <alignment wrapText="1"/>
    </xf>
    <xf numFmtId="0" fontId="2" fillId="0" borderId="4" xfId="0" applyFont="1" applyBorder="1" applyAlignment="1">
      <alignment horizontal="right"/>
    </xf>
    <xf numFmtId="0" fontId="2" fillId="0" borderId="6" xfId="0" applyFont="1" applyBorder="1" applyAlignment="1">
      <alignment horizontal="right"/>
    </xf>
    <xf numFmtId="0" fontId="2" fillId="0" borderId="6" xfId="0" applyFont="1" applyBorder="1" applyAlignment="1">
      <alignment horizontal="center" wrapText="1"/>
    </xf>
    <xf numFmtId="0" fontId="2" fillId="0" borderId="18" xfId="0" applyFont="1" applyBorder="1" applyAlignment="1">
      <alignment horizontal="center"/>
    </xf>
    <xf numFmtId="0" fontId="2" fillId="0" borderId="18" xfId="0" applyFont="1" applyBorder="1"/>
    <xf numFmtId="0" fontId="2" fillId="0" borderId="18" xfId="0" applyFont="1" applyBorder="1" applyAlignment="1">
      <alignment wrapText="1"/>
    </xf>
    <xf numFmtId="0" fontId="2" fillId="0" borderId="17" xfId="0" applyFont="1" applyBorder="1" applyAlignment="1">
      <alignment horizontal="center" wrapText="1"/>
    </xf>
    <xf numFmtId="0" fontId="2" fillId="0" borderId="18" xfId="0" applyFont="1" applyBorder="1" applyAlignment="1">
      <alignment horizontal="center" wrapText="1"/>
    </xf>
    <xf numFmtId="0" fontId="2" fillId="0" borderId="19" xfId="0" applyFont="1" applyBorder="1" applyAlignment="1">
      <alignment wrapText="1"/>
    </xf>
    <xf numFmtId="0" fontId="2" fillId="0" borderId="19" xfId="0" applyFont="1" applyBorder="1"/>
    <xf numFmtId="0" fontId="4" fillId="0" borderId="7" xfId="0" applyFont="1" applyBorder="1" applyAlignment="1">
      <alignment wrapText="1"/>
    </xf>
    <xf numFmtId="0" fontId="4" fillId="0" borderId="7" xfId="0" applyFont="1" applyBorder="1"/>
    <xf numFmtId="0" fontId="4" fillId="0" borderId="6" xfId="0" applyFont="1" applyBorder="1" applyAlignment="1">
      <alignment wrapText="1"/>
    </xf>
    <xf numFmtId="0" fontId="4" fillId="0" borderId="6" xfId="0" applyFont="1" applyBorder="1"/>
    <xf numFmtId="164" fontId="4" fillId="0" borderId="6" xfId="1" applyNumberFormat="1" applyFont="1" applyBorder="1"/>
    <xf numFmtId="0" fontId="4" fillId="0" borderId="18" xfId="0" applyFont="1" applyBorder="1"/>
    <xf numFmtId="0" fontId="4" fillId="0" borderId="6" xfId="0" applyFont="1" applyBorder="1" applyAlignment="1">
      <alignment horizontal="center" wrapText="1"/>
    </xf>
    <xf numFmtId="0" fontId="4" fillId="0" borderId="18" xfId="0" applyFont="1" applyBorder="1" applyAlignment="1">
      <alignment horizontal="center"/>
    </xf>
    <xf numFmtId="0" fontId="4" fillId="0" borderId="18" xfId="0" applyFont="1" applyBorder="1" applyAlignment="1">
      <alignment horizontal="center" wrapText="1"/>
    </xf>
    <xf numFmtId="0" fontId="4" fillId="0" borderId="1" xfId="0" applyFont="1" applyBorder="1"/>
    <xf numFmtId="0" fontId="4" fillId="0" borderId="5" xfId="0" applyFont="1" applyBorder="1"/>
    <xf numFmtId="0" fontId="4" fillId="0" borderId="3" xfId="0" applyFont="1" applyBorder="1"/>
    <xf numFmtId="0" fontId="2" fillId="0" borderId="1" xfId="0" applyFont="1" applyBorder="1" applyAlignment="1">
      <alignment wrapText="1"/>
    </xf>
    <xf numFmtId="0" fontId="2" fillId="0" borderId="3" xfId="0" applyFont="1" applyBorder="1" applyAlignment="1">
      <alignment wrapText="1"/>
    </xf>
    <xf numFmtId="0" fontId="2" fillId="0" borderId="6" xfId="0" applyFont="1" applyBorder="1" applyAlignment="1">
      <alignment horizontal="center"/>
    </xf>
    <xf numFmtId="164" fontId="2" fillId="0" borderId="3" xfId="1" applyNumberFormat="1" applyFont="1" applyBorder="1"/>
    <xf numFmtId="0" fontId="2" fillId="0" borderId="17" xfId="0" applyFont="1" applyBorder="1" applyAlignment="1">
      <alignment horizontal="left" wrapText="1"/>
    </xf>
    <xf numFmtId="0" fontId="2" fillId="0" borderId="6" xfId="0" applyFont="1" applyBorder="1" applyAlignment="1">
      <alignment horizontal="left" wrapText="1"/>
    </xf>
    <xf numFmtId="0" fontId="2" fillId="0" borderId="6" xfId="0" applyFont="1" applyBorder="1" applyAlignment="1">
      <alignment horizontal="right" wrapText="1"/>
    </xf>
    <xf numFmtId="164" fontId="2" fillId="0" borderId="6" xfId="1" applyNumberFormat="1" applyFont="1" applyBorder="1" applyAlignment="1">
      <alignment wrapText="1"/>
    </xf>
    <xf numFmtId="164" fontId="3" fillId="0" borderId="6" xfId="1" applyNumberFormat="1" applyFont="1" applyBorder="1" applyAlignment="1">
      <alignment wrapText="1"/>
    </xf>
    <xf numFmtId="0" fontId="2" fillId="0" borderId="18" xfId="0" applyFont="1" applyBorder="1" applyAlignment="1">
      <alignment horizontal="left" wrapText="1"/>
    </xf>
    <xf numFmtId="164" fontId="2" fillId="0" borderId="18" xfId="1" applyNumberFormat="1" applyFont="1" applyBorder="1" applyAlignment="1">
      <alignment wrapText="1"/>
    </xf>
    <xf numFmtId="0" fontId="2" fillId="0" borderId="5" xfId="0" applyFont="1" applyBorder="1" applyAlignment="1">
      <alignment wrapText="1"/>
    </xf>
    <xf numFmtId="0" fontId="2" fillId="0" borderId="20" xfId="0" applyFont="1" applyBorder="1"/>
    <xf numFmtId="0" fontId="2" fillId="0" borderId="20" xfId="0" applyFont="1" applyBorder="1" applyAlignment="1">
      <alignment wrapText="1"/>
    </xf>
    <xf numFmtId="164" fontId="2" fillId="0" borderId="20" xfId="1" applyNumberFormat="1" applyFont="1" applyBorder="1"/>
    <xf numFmtId="164" fontId="2" fillId="0" borderId="20" xfId="1" applyNumberFormat="1" applyFont="1" applyBorder="1" applyAlignment="1">
      <alignment wrapText="1"/>
    </xf>
    <xf numFmtId="0" fontId="4" fillId="0" borderId="6" xfId="0" applyFont="1" applyBorder="1" applyAlignment="1">
      <alignment horizontal="right"/>
    </xf>
    <xf numFmtId="0" fontId="4" fillId="0" borderId="0" xfId="0" applyFont="1" applyAlignment="1">
      <alignment horizontal="right"/>
    </xf>
    <xf numFmtId="0" fontId="2" fillId="0" borderId="22" xfId="0" applyFont="1" applyBorder="1" applyAlignment="1">
      <alignment horizontal="center"/>
    </xf>
    <xf numFmtId="0" fontId="0" fillId="0" borderId="0" xfId="0" applyAlignment="1">
      <alignment wrapText="1"/>
    </xf>
    <xf numFmtId="0" fontId="2" fillId="0" borderId="17" xfId="0" applyFont="1" applyBorder="1" applyAlignment="1">
      <alignment horizont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21" xfId="0" applyFont="1" applyBorder="1" applyAlignment="1">
      <alignment horizontal="center"/>
    </xf>
    <xf numFmtId="0" fontId="2" fillId="0" borderId="6" xfId="0" applyFont="1" applyBorder="1" applyAlignment="1">
      <alignment horizontal="center" wrapText="1"/>
    </xf>
    <xf numFmtId="0" fontId="4" fillId="0" borderId="2" xfId="0" applyFont="1" applyBorder="1" applyAlignment="1">
      <alignment horizontal="center"/>
    </xf>
    <xf numFmtId="0" fontId="4" fillId="0" borderId="3" xfId="0" applyFont="1" applyBorder="1" applyAlignment="1">
      <alignment horizontal="center"/>
    </xf>
    <xf numFmtId="0" fontId="4" fillId="0" borderId="6" xfId="0" applyFont="1" applyBorder="1" applyAlignment="1">
      <alignment horizontal="center" wrapText="1"/>
    </xf>
    <xf numFmtId="0" fontId="4" fillId="0" borderId="6" xfId="0" applyFont="1" applyBorder="1" applyAlignment="1">
      <alignment horizontal="center" vertical="center" wrapText="1"/>
    </xf>
    <xf numFmtId="0" fontId="2" fillId="0" borderId="4" xfId="0" applyFont="1" applyBorder="1" applyAlignment="1">
      <alignment horizontal="center" wrapText="1"/>
    </xf>
    <xf numFmtId="0" fontId="2" fillId="0" borderId="11" xfId="0" applyFont="1" applyBorder="1" applyAlignment="1">
      <alignment horizontal="center"/>
    </xf>
    <xf numFmtId="0" fontId="2" fillId="0" borderId="12" xfId="0" applyFont="1" applyBorder="1" applyAlignment="1">
      <alignment horizontal="center"/>
    </xf>
  </cellXfs>
  <cellStyles count="2">
    <cellStyle name="Prozent" xfId="1" builtinId="5"/>
    <cellStyle name="Standard" xfId="0" builtinId="0"/>
  </cellStyles>
  <dxfs count="0"/>
  <tableStyles count="0" defaultTableStyle="TableStyleMedium2" defaultPivotStyle="PivotStyleLight16"/>
  <colors>
    <mruColors>
      <color rgb="FF7C29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de-DE"/>
        </a:p>
      </c:txPr>
    </c:title>
    <c:autoTitleDeleted val="0"/>
    <c:plotArea>
      <c:layout/>
      <c:pieChart>
        <c:varyColors val="0"/>
        <c:ser>
          <c:idx val="0"/>
          <c:order val="0"/>
          <c:spPr>
            <a:solidFill>
              <a:schemeClr val="lt1"/>
            </a:solidFill>
            <a:ln w="19050">
              <a:solidFill>
                <a:srgbClr val="7C2927"/>
              </a:solidFill>
            </a:ln>
            <a:effectLst/>
          </c:spPr>
          <c:dPt>
            <c:idx val="0"/>
            <c:bubble3D val="0"/>
            <c:spPr>
              <a:solidFill>
                <a:srgbClr val="7C2927"/>
              </a:solidFill>
              <a:ln w="19050">
                <a:solidFill>
                  <a:srgbClr val="7C2927"/>
                </a:solidFill>
              </a:ln>
              <a:effectLst/>
            </c:spPr>
            <c:extLst>
              <c:ext xmlns:c16="http://schemas.microsoft.com/office/drawing/2014/chart" uri="{C3380CC4-5D6E-409C-BE32-E72D297353CC}">
                <c16:uniqueId val="{00000001-74C8-7648-8ACF-1FE48E1D370F}"/>
              </c:ext>
            </c:extLst>
          </c:dPt>
          <c:dPt>
            <c:idx val="1"/>
            <c:bubble3D val="0"/>
            <c:spPr>
              <a:pattFill prst="dashHorz">
                <a:fgClr>
                  <a:srgbClr val="7C2927"/>
                </a:fgClr>
                <a:bgClr>
                  <a:schemeClr val="bg1"/>
                </a:bgClr>
              </a:pattFill>
              <a:ln w="19050">
                <a:solidFill>
                  <a:srgbClr val="7C2927"/>
                </a:solidFill>
              </a:ln>
              <a:effectLst/>
            </c:spPr>
            <c:extLst>
              <c:ext xmlns:c16="http://schemas.microsoft.com/office/drawing/2014/chart" uri="{C3380CC4-5D6E-409C-BE32-E72D297353CC}">
                <c16:uniqueId val="{00000002-74C8-7648-8ACF-1FE48E1D370F}"/>
              </c:ext>
            </c:extLst>
          </c:dPt>
          <c:dPt>
            <c:idx val="2"/>
            <c:bubble3D val="0"/>
            <c:spPr>
              <a:pattFill prst="trellis">
                <a:fgClr>
                  <a:srgbClr val="7C2927"/>
                </a:fgClr>
                <a:bgClr>
                  <a:schemeClr val="bg1"/>
                </a:bgClr>
              </a:pattFill>
              <a:ln w="19050">
                <a:solidFill>
                  <a:srgbClr val="7C2927"/>
                </a:solidFill>
              </a:ln>
              <a:effectLst/>
            </c:spPr>
            <c:extLst>
              <c:ext xmlns:c16="http://schemas.microsoft.com/office/drawing/2014/chart" uri="{C3380CC4-5D6E-409C-BE32-E72D297353CC}">
                <c16:uniqueId val="{00000004-74C8-7648-8ACF-1FE48E1D370F}"/>
              </c:ext>
            </c:extLst>
          </c:dPt>
          <c:dPt>
            <c:idx val="3"/>
            <c:bubble3D val="0"/>
            <c:spPr>
              <a:pattFill prst="ltHorz">
                <a:fgClr>
                  <a:srgbClr val="7C2927"/>
                </a:fgClr>
                <a:bgClr>
                  <a:schemeClr val="bg1"/>
                </a:bgClr>
              </a:pattFill>
              <a:ln w="19050">
                <a:solidFill>
                  <a:srgbClr val="7C2927"/>
                </a:solidFill>
              </a:ln>
              <a:effectLst/>
            </c:spPr>
            <c:extLst>
              <c:ext xmlns:c16="http://schemas.microsoft.com/office/drawing/2014/chart" uri="{C3380CC4-5D6E-409C-BE32-E72D297353CC}">
                <c16:uniqueId val="{00000003-74C8-7648-8ACF-1FE48E1D370F}"/>
              </c:ext>
            </c:extLst>
          </c:dPt>
          <c:dPt>
            <c:idx val="4"/>
            <c:bubble3D val="0"/>
            <c:spPr>
              <a:pattFill prst="pct10">
                <a:fgClr>
                  <a:srgbClr val="7C2927"/>
                </a:fgClr>
                <a:bgClr>
                  <a:schemeClr val="bg1"/>
                </a:bgClr>
              </a:pattFill>
              <a:ln w="19050">
                <a:solidFill>
                  <a:srgbClr val="7C2927"/>
                </a:solidFill>
              </a:ln>
              <a:effectLst/>
            </c:spPr>
            <c:extLst>
              <c:ext xmlns:c16="http://schemas.microsoft.com/office/drawing/2014/chart" uri="{C3380CC4-5D6E-409C-BE32-E72D297353CC}">
                <c16:uniqueId val="{00000005-74C8-7648-8ACF-1FE48E1D370F}"/>
              </c:ext>
            </c:extLst>
          </c:dPt>
          <c:dPt>
            <c:idx val="5"/>
            <c:bubble3D val="0"/>
            <c:spPr>
              <a:pattFill prst="lgGrid">
                <a:fgClr>
                  <a:srgbClr val="7C2927"/>
                </a:fgClr>
                <a:bgClr>
                  <a:schemeClr val="bg1"/>
                </a:bgClr>
              </a:pattFill>
              <a:ln w="19050">
                <a:solidFill>
                  <a:srgbClr val="7C2927"/>
                </a:solidFill>
              </a:ln>
              <a:effectLst/>
            </c:spPr>
            <c:extLst>
              <c:ext xmlns:c16="http://schemas.microsoft.com/office/drawing/2014/chart" uri="{C3380CC4-5D6E-409C-BE32-E72D297353CC}">
                <c16:uniqueId val="{00000006-74C8-7648-8ACF-1FE48E1D370F}"/>
              </c:ext>
            </c:extLst>
          </c:dPt>
          <c:dLbls>
            <c:dLbl>
              <c:idx val="0"/>
              <c:layout>
                <c:manualLayout>
                  <c:x val="5.0131124234470678E-2"/>
                  <c:y val="9.5855682360895575E-2"/>
                </c:manualLayout>
              </c:layout>
              <c:spPr>
                <a:noFill/>
                <a:ln>
                  <a:noFill/>
                </a:ln>
                <a:effectLst/>
              </c:spPr>
              <c:txPr>
                <a:bodyPr rot="0" spcFirstLastPara="1" vertOverflow="ellipsis" vert="horz" wrap="square" lIns="38100" tIns="19050" rIns="38100" bIns="19050" anchor="ctr" anchorCtr="0">
                  <a:noAutofit/>
                </a:bodyPr>
                <a:lstStyle/>
                <a:p>
                  <a:pPr algn="l">
                    <a:defRPr sz="900" b="1" i="0" u="none" strike="noStrike" kern="1200" baseline="0">
                      <a:solidFill>
                        <a:srgbClr val="7C2927"/>
                      </a:solidFill>
                      <a:latin typeface="Book Antiqua" panose="02040602050305030304" pitchFamily="18" charset="0"/>
                      <a:ea typeface="+mn-ea"/>
                      <a:cs typeface="+mn-cs"/>
                    </a:defRPr>
                  </a:pPr>
                  <a:endParaRPr lang="de-DE"/>
                </a:p>
              </c:txPr>
              <c:showLegendKey val="0"/>
              <c:showVal val="1"/>
              <c:showCatName val="1"/>
              <c:showSerName val="0"/>
              <c:showPercent val="1"/>
              <c:showBubbleSize val="0"/>
              <c:separator>; </c:separator>
              <c:extLst>
                <c:ext xmlns:c15="http://schemas.microsoft.com/office/drawing/2012/chart" uri="{CE6537A1-D6FC-4f65-9D91-7224C49458BB}">
                  <c15:layout>
                    <c:manualLayout>
                      <c:w val="0.25105555555555553"/>
                      <c:h val="0.25659937417207951"/>
                    </c:manualLayout>
                  </c15:layout>
                </c:ext>
                <c:ext xmlns:c16="http://schemas.microsoft.com/office/drawing/2014/chart" uri="{C3380CC4-5D6E-409C-BE32-E72D297353CC}">
                  <c16:uniqueId val="{00000001-74C8-7648-8ACF-1FE48E1D370F}"/>
                </c:ext>
              </c:extLst>
            </c:dLbl>
            <c:dLbl>
              <c:idx val="1"/>
              <c:layout>
                <c:manualLayout>
                  <c:x val="0.19135276623044145"/>
                  <c:y val="-1.395841126169017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74C8-7648-8ACF-1FE48E1D370F}"/>
                </c:ext>
              </c:extLst>
            </c:dLbl>
            <c:dLbl>
              <c:idx val="2"/>
              <c:layout>
                <c:manualLayout>
                  <c:x val="-2.3199475065616797E-2"/>
                  <c:y val="1.3805935989958516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74C8-7648-8ACF-1FE48E1D370F}"/>
                </c:ext>
              </c:extLst>
            </c:dLbl>
            <c:dLbl>
              <c:idx val="3"/>
              <c:layout>
                <c:manualLayout>
                  <c:x val="-4.7016286399951743E-3"/>
                  <c:y val="-6.3500105930452636E-3"/>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0906970014591572"/>
                      <c:h val="0.16540717345102848"/>
                    </c:manualLayout>
                  </c15:layout>
                </c:ext>
                <c:ext xmlns:c16="http://schemas.microsoft.com/office/drawing/2014/chart" uri="{C3380CC4-5D6E-409C-BE32-E72D297353CC}">
                  <c16:uniqueId val="{00000003-74C8-7648-8ACF-1FE48E1D370F}"/>
                </c:ext>
              </c:extLst>
            </c:dLbl>
            <c:dLbl>
              <c:idx val="4"/>
              <c:layout>
                <c:manualLayout>
                  <c:x val="-3.7773840769903734E-2"/>
                  <c:y val="4.4959827818275379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74C8-7648-8ACF-1FE48E1D370F}"/>
                </c:ext>
              </c:extLst>
            </c:dLbl>
            <c:dLbl>
              <c:idx val="5"/>
              <c:layout>
                <c:manualLayout>
                  <c:x val="8.3692968074871393E-2"/>
                  <c:y val="-2.430216070631246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7C2927"/>
                      </a:solidFill>
                      <a:latin typeface="Book Antiqua" panose="02040602050305030304" pitchFamily="18" charset="0"/>
                      <a:ea typeface="+mn-ea"/>
                      <a:cs typeface="+mn-cs"/>
                    </a:defRPr>
                  </a:pPr>
                  <a:endParaRPr lang="de-DE"/>
                </a:p>
              </c:txPr>
              <c:showLegendKey val="0"/>
              <c:showVal val="1"/>
              <c:showCatName val="1"/>
              <c:showSerName val="0"/>
              <c:showPercent val="1"/>
              <c:showBubbleSize val="0"/>
              <c:separator>; </c:separator>
              <c:extLst>
                <c:ext xmlns:c15="http://schemas.microsoft.com/office/drawing/2012/chart" uri="{CE6537A1-D6FC-4f65-9D91-7224C49458BB}">
                  <c15:layout>
                    <c:manualLayout>
                      <c:w val="0.23631177763892189"/>
                      <c:h val="0.10096584145955889"/>
                    </c:manualLayout>
                  </c15:layout>
                </c:ext>
                <c:ext xmlns:c16="http://schemas.microsoft.com/office/drawing/2014/chart" uri="{C3380CC4-5D6E-409C-BE32-E72D297353CC}">
                  <c16:uniqueId val="{00000006-74C8-7648-8ACF-1FE48E1D370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C2927"/>
                    </a:solidFill>
                    <a:latin typeface="Book Antiqua" panose="02040602050305030304" pitchFamily="18" charset="0"/>
                    <a:ea typeface="+mn-ea"/>
                    <a:cs typeface="+mn-cs"/>
                  </a:defRPr>
                </a:pPr>
                <a:endParaRPr lang="de-DE"/>
              </a:p>
            </c:txPr>
            <c:showLegendKey val="0"/>
            <c:showVal val="1"/>
            <c:showCatName val="0"/>
            <c:showSerName val="0"/>
            <c:showPercent val="0"/>
            <c:showBubbleSize val="0"/>
            <c:separator>; </c:separator>
            <c:showLeaderLines val="1"/>
            <c:leaderLines>
              <c:spPr>
                <a:ln w="9525">
                  <a:solidFill>
                    <a:srgbClr val="7C2927"/>
                  </a:solidFill>
                </a:ln>
                <a:effectLst/>
              </c:spPr>
            </c:leaderLines>
            <c:extLst>
              <c:ext xmlns:c15="http://schemas.microsoft.com/office/drawing/2012/chart" uri="{CE6537A1-D6FC-4f65-9D91-7224C49458BB}"/>
            </c:extLst>
          </c:dLbls>
          <c:cat>
            <c:strRef>
              <c:f>Fehler!$A$1:$A$6</c:f>
              <c:strCache>
                <c:ptCount val="6"/>
                <c:pt idx="0">
                  <c:v> Innenhofgeometrie</c:v>
                </c:pt>
                <c:pt idx="1">
                  <c:v>Obere Etagen</c:v>
                </c:pt>
                <c:pt idx="2">
                  <c:v>Loggien</c:v>
                </c:pt>
                <c:pt idx="3">
                  <c:v>Deduplizierung</c:v>
                </c:pt>
                <c:pt idx="4">
                  <c:v>Bäume</c:v>
                </c:pt>
                <c:pt idx="5">
                  <c:v>Baugerüst</c:v>
                </c:pt>
              </c:strCache>
            </c:strRef>
          </c:cat>
          <c:val>
            <c:numRef>
              <c:f>Fehler!$B$1:$B$6</c:f>
              <c:numCache>
                <c:formatCode>General</c:formatCode>
                <c:ptCount val="6"/>
                <c:pt idx="0">
                  <c:v>11</c:v>
                </c:pt>
                <c:pt idx="1">
                  <c:v>4</c:v>
                </c:pt>
                <c:pt idx="2">
                  <c:v>1</c:v>
                </c:pt>
                <c:pt idx="3">
                  <c:v>3</c:v>
                </c:pt>
                <c:pt idx="4">
                  <c:v>6</c:v>
                </c:pt>
                <c:pt idx="5">
                  <c:v>1</c:v>
                </c:pt>
              </c:numCache>
            </c:numRef>
          </c:val>
          <c:extLst>
            <c:ext xmlns:c16="http://schemas.microsoft.com/office/drawing/2014/chart" uri="{C3380CC4-5D6E-409C-BE32-E72D297353CC}">
              <c16:uniqueId val="{00000000-74C8-7648-8ACF-1FE48E1D370F}"/>
            </c:ext>
          </c:extLst>
        </c:ser>
        <c:dLbls>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520701</xdr:colOff>
      <xdr:row>4</xdr:row>
      <xdr:rowOff>79375</xdr:rowOff>
    </xdr:from>
    <xdr:to>
      <xdr:col>9</xdr:col>
      <xdr:colOff>139701</xdr:colOff>
      <xdr:row>17</xdr:row>
      <xdr:rowOff>153458</xdr:rowOff>
    </xdr:to>
    <xdr:graphicFrame macro="">
      <xdr:nvGraphicFramePr>
        <xdr:cNvPr id="2" name="Diagramm 1">
          <a:extLst>
            <a:ext uri="{FF2B5EF4-FFF2-40B4-BE49-F238E27FC236}">
              <a16:creationId xmlns:a16="http://schemas.microsoft.com/office/drawing/2014/main" id="{5B132CF0-A9E8-DF80-1721-22742EC33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526762</xdr:colOff>
      <xdr:row>4</xdr:row>
      <xdr:rowOff>79375</xdr:rowOff>
    </xdr:from>
    <xdr:to>
      <xdr:col>5</xdr:col>
      <xdr:colOff>721592</xdr:colOff>
      <xdr:row>5</xdr:row>
      <xdr:rowOff>122670</xdr:rowOff>
    </xdr:to>
    <xdr:sp macro="" textlink="">
      <xdr:nvSpPr>
        <xdr:cNvPr id="3" name="Textfeld 2">
          <a:extLst>
            <a:ext uri="{FF2B5EF4-FFF2-40B4-BE49-F238E27FC236}">
              <a16:creationId xmlns:a16="http://schemas.microsoft.com/office/drawing/2014/main" id="{217A87C0-86DE-B0C7-DEB7-D91BB186BF6A}"/>
            </a:ext>
          </a:extLst>
        </xdr:cNvPr>
        <xdr:cNvSpPr txBox="1"/>
      </xdr:nvSpPr>
      <xdr:spPr>
        <a:xfrm>
          <a:off x="4026478" y="1378239"/>
          <a:ext cx="1840057" cy="2597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solidFill>
                <a:srgbClr val="7C2927"/>
              </a:solidFill>
              <a:latin typeface="Book Antiqua" panose="02040602050305030304" pitchFamily="18" charset="0"/>
            </a:rPr>
            <a:t>n = </a:t>
          </a:r>
          <a:r>
            <a:rPr lang="de-DE" sz="1100" baseline="0">
              <a:solidFill>
                <a:srgbClr val="7C2927"/>
              </a:solidFill>
              <a:latin typeface="Book Antiqua" panose="02040602050305030304" pitchFamily="18" charset="0"/>
            </a:rPr>
            <a:t>26 Gebäude</a:t>
          </a:r>
          <a:endParaRPr lang="de-DE" sz="1100">
            <a:solidFill>
              <a:srgbClr val="7C2927"/>
            </a:solidFill>
            <a:latin typeface="Book Antiqua" panose="02040602050305030304" pitchFamily="18" charset="0"/>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26ACE-A775-3D44-A1C0-2C83E5288809}">
  <sheetPr>
    <pageSetUpPr fitToPage="1"/>
  </sheetPr>
  <dimension ref="A1:AA324"/>
  <sheetViews>
    <sheetView zoomScale="50" zoomScaleNormal="50" zoomScaleSheetLayoutView="50" zoomScalePageLayoutView="50" workbookViewId="0">
      <selection activeCell="AH58" sqref="AH58"/>
    </sheetView>
  </sheetViews>
  <sheetFormatPr baseColWidth="10" defaultRowHeight="15" outlineLevelRow="2" x14ac:dyDescent="0.2"/>
  <cols>
    <col min="1" max="1" width="14.5" style="1" customWidth="1"/>
    <col min="2" max="2" width="9.83203125" style="2" customWidth="1"/>
    <col min="3" max="3" width="2.83203125" style="1" customWidth="1"/>
    <col min="4" max="4" width="15.83203125" style="1" customWidth="1"/>
    <col min="5" max="5" width="9.5" style="1" customWidth="1"/>
    <col min="6" max="6" width="15.5" style="1" customWidth="1"/>
    <col min="7" max="7" width="10.1640625" style="1" customWidth="1"/>
    <col min="8" max="8" width="3.5" style="1" customWidth="1"/>
    <col min="9" max="9" width="13.6640625" style="3" customWidth="1"/>
    <col min="10" max="10" width="7.5" style="1" customWidth="1"/>
    <col min="11" max="11" width="8.5" style="1" customWidth="1"/>
    <col min="12" max="12" width="10.83203125" style="1" customWidth="1"/>
    <col min="13" max="13" width="3.6640625" style="1" customWidth="1"/>
    <col min="14" max="14" width="12.1640625" style="1" customWidth="1"/>
    <col min="15" max="15" width="8.33203125" style="1" customWidth="1"/>
    <col min="16" max="16" width="10.83203125" style="1"/>
    <col min="17" max="17" width="10.5" style="1" customWidth="1"/>
    <col min="18" max="18" width="3.83203125" style="1" customWidth="1"/>
    <col min="19" max="19" width="13" style="1" customWidth="1"/>
    <col min="20" max="20" width="7.83203125" style="1" customWidth="1"/>
    <col min="21" max="21" width="10.83203125" style="1"/>
    <col min="22" max="22" width="11" style="1" customWidth="1"/>
    <col min="23" max="23" width="3.33203125" style="1" customWidth="1"/>
    <col min="24" max="24" width="12.6640625" style="1" customWidth="1"/>
    <col min="25" max="25" width="7.5" style="1" customWidth="1"/>
    <col min="26" max="26" width="10.83203125" style="1"/>
    <col min="27" max="27" width="11.6640625" style="1" customWidth="1"/>
    <col min="28" max="28" width="2.6640625" style="1" customWidth="1"/>
    <col min="29" max="29" width="11.1640625" style="1" customWidth="1"/>
    <col min="30" max="30" width="7.83203125" style="1" customWidth="1"/>
    <col min="31" max="31" width="10.83203125" style="1"/>
    <col min="32" max="32" width="9" style="1" customWidth="1"/>
    <col min="33" max="33" width="3.5" style="1" customWidth="1"/>
    <col min="34" max="34" width="10.5" style="1" customWidth="1"/>
    <col min="35" max="35" width="7.83203125" style="1" customWidth="1"/>
    <col min="36" max="36" width="10.83203125" style="1"/>
    <col min="37" max="37" width="8.83203125" style="1" customWidth="1"/>
    <col min="38" max="16384" width="10.83203125" style="1"/>
  </cols>
  <sheetData>
    <row r="1" spans="1:27" ht="32" x14ac:dyDescent="0.2">
      <c r="A1" s="32" t="s">
        <v>0</v>
      </c>
      <c r="B1" s="40" t="s">
        <v>68</v>
      </c>
      <c r="C1" s="32"/>
      <c r="D1" s="32"/>
      <c r="E1" s="32"/>
      <c r="F1" s="32"/>
      <c r="G1" s="32"/>
      <c r="H1" s="32"/>
      <c r="I1" s="60"/>
      <c r="J1" s="32"/>
      <c r="K1" s="32"/>
      <c r="L1" s="32"/>
      <c r="M1" s="32"/>
      <c r="N1" s="32"/>
      <c r="O1" s="32"/>
      <c r="P1" s="32"/>
      <c r="Q1" s="32"/>
      <c r="R1" s="32"/>
      <c r="S1" s="32"/>
      <c r="T1" s="32"/>
      <c r="U1" s="32"/>
      <c r="V1" s="32"/>
      <c r="W1" s="32"/>
      <c r="X1" s="32"/>
      <c r="Y1" s="32"/>
      <c r="Z1" s="76" t="s">
        <v>80</v>
      </c>
      <c r="AA1" s="76"/>
    </row>
    <row r="3" spans="1:27" ht="18" customHeight="1" outlineLevel="1" x14ac:dyDescent="0.2">
      <c r="A3" s="1" t="s">
        <v>25</v>
      </c>
      <c r="B3" s="2">
        <v>33</v>
      </c>
      <c r="I3" s="61" t="s">
        <v>77</v>
      </c>
      <c r="J3" s="20">
        <v>1</v>
      </c>
      <c r="K3" s="20" t="s">
        <v>12</v>
      </c>
      <c r="L3" s="20" t="s">
        <v>15</v>
      </c>
      <c r="M3" s="33"/>
      <c r="N3" s="20" t="s">
        <v>77</v>
      </c>
      <c r="O3" s="20">
        <v>2</v>
      </c>
      <c r="P3" s="20" t="s">
        <v>12</v>
      </c>
      <c r="Q3" s="20" t="s">
        <v>15</v>
      </c>
      <c r="R3" s="33"/>
      <c r="S3" s="20" t="s">
        <v>77</v>
      </c>
      <c r="T3" s="20">
        <v>3</v>
      </c>
      <c r="U3" s="20" t="s">
        <v>12</v>
      </c>
      <c r="V3" s="20" t="s">
        <v>14</v>
      </c>
      <c r="W3" s="33"/>
      <c r="X3" s="20" t="s">
        <v>77</v>
      </c>
      <c r="Y3" s="20">
        <v>4</v>
      </c>
      <c r="Z3" s="20" t="s">
        <v>12</v>
      </c>
      <c r="AA3" s="42" t="s">
        <v>14</v>
      </c>
    </row>
    <row r="4" spans="1:27" ht="16" customHeight="1" outlineLevel="1" x14ac:dyDescent="0.2">
      <c r="I4" s="61" t="s">
        <v>11</v>
      </c>
      <c r="J4" s="62" t="s">
        <v>5</v>
      </c>
      <c r="K4" s="20"/>
      <c r="L4" s="20"/>
      <c r="M4" s="33"/>
      <c r="N4" s="20" t="s">
        <v>11</v>
      </c>
      <c r="O4" s="62" t="s">
        <v>8</v>
      </c>
      <c r="P4" s="20"/>
      <c r="Q4" s="20"/>
      <c r="R4" s="33"/>
      <c r="S4" s="20" t="s">
        <v>11</v>
      </c>
      <c r="T4" s="62" t="s">
        <v>6</v>
      </c>
      <c r="U4" s="20"/>
      <c r="V4" s="20"/>
      <c r="W4" s="33"/>
      <c r="X4" s="20" t="s">
        <v>11</v>
      </c>
      <c r="Y4" s="62" t="s">
        <v>7</v>
      </c>
      <c r="Z4" s="20"/>
      <c r="AA4" s="42"/>
    </row>
    <row r="5" spans="1:27" ht="17" customHeight="1" outlineLevel="1" x14ac:dyDescent="0.2">
      <c r="D5" s="20" t="s">
        <v>38</v>
      </c>
      <c r="E5" s="20" t="s">
        <v>60</v>
      </c>
      <c r="F5" s="20" t="s">
        <v>61</v>
      </c>
      <c r="G5" s="20" t="s">
        <v>43</v>
      </c>
      <c r="H5" s="33"/>
      <c r="I5" s="61" t="s">
        <v>9</v>
      </c>
      <c r="J5" s="20" t="s">
        <v>66</v>
      </c>
      <c r="K5" s="20" t="s">
        <v>60</v>
      </c>
      <c r="L5" s="20" t="s">
        <v>62</v>
      </c>
      <c r="M5" s="33"/>
      <c r="N5" s="20" t="s">
        <v>9</v>
      </c>
      <c r="O5" s="20" t="s">
        <v>66</v>
      </c>
      <c r="P5" s="20" t="s">
        <v>60</v>
      </c>
      <c r="Q5" s="20" t="s">
        <v>62</v>
      </c>
      <c r="R5" s="33"/>
      <c r="S5" s="20" t="s">
        <v>9</v>
      </c>
      <c r="T5" s="20" t="s">
        <v>66</v>
      </c>
      <c r="U5" s="20" t="s">
        <v>60</v>
      </c>
      <c r="V5" s="20" t="s">
        <v>62</v>
      </c>
      <c r="W5" s="33"/>
      <c r="X5" s="20" t="s">
        <v>9</v>
      </c>
      <c r="Y5" s="20" t="s">
        <v>66</v>
      </c>
      <c r="Z5" s="20" t="s">
        <v>60</v>
      </c>
      <c r="AA5" s="42" t="s">
        <v>62</v>
      </c>
    </row>
    <row r="6" spans="1:27" ht="16" outlineLevel="1" x14ac:dyDescent="0.2">
      <c r="D6" s="20" t="s">
        <v>16</v>
      </c>
      <c r="E6" s="20">
        <f>SUM(K14,P14,U14,Z14)</f>
        <v>0</v>
      </c>
      <c r="F6" s="20">
        <f>SUM(L14,Q14,V14,AA14)</f>
        <v>172</v>
      </c>
      <c r="G6" s="20">
        <f>SUM(E6:F6)</f>
        <v>172</v>
      </c>
      <c r="H6" s="33"/>
      <c r="I6" s="61">
        <v>1</v>
      </c>
      <c r="J6" s="20">
        <f>SUM(K6,L6)</f>
        <v>11</v>
      </c>
      <c r="K6" s="20">
        <v>0</v>
      </c>
      <c r="L6" s="20">
        <v>11</v>
      </c>
      <c r="M6" s="33"/>
      <c r="N6" s="20">
        <v>1</v>
      </c>
      <c r="O6" s="20">
        <f>SUM(P6,Q6)</f>
        <v>11</v>
      </c>
      <c r="P6" s="20">
        <v>0</v>
      </c>
      <c r="Q6" s="20">
        <v>11</v>
      </c>
      <c r="R6" s="33"/>
      <c r="S6" s="20">
        <v>1</v>
      </c>
      <c r="T6" s="20">
        <f t="shared" ref="T6:T13" si="0">SUM(U6,V6)</f>
        <v>4</v>
      </c>
      <c r="U6" s="20">
        <v>0</v>
      </c>
      <c r="V6" s="20">
        <v>4</v>
      </c>
      <c r="W6" s="33"/>
      <c r="X6" s="20">
        <v>1</v>
      </c>
      <c r="Y6" s="20">
        <f t="shared" ref="Y6:Y13" si="1">SUM(Z6,AA6)</f>
        <v>1</v>
      </c>
      <c r="Z6" s="20">
        <v>0</v>
      </c>
      <c r="AA6" s="42">
        <v>1</v>
      </c>
    </row>
    <row r="7" spans="1:27" ht="16" outlineLevel="1" x14ac:dyDescent="0.2">
      <c r="B7" s="79" t="s">
        <v>58</v>
      </c>
      <c r="C7" s="33"/>
      <c r="D7" s="20" t="s">
        <v>17</v>
      </c>
      <c r="E7" s="20">
        <v>0</v>
      </c>
      <c r="F7" s="20">
        <v>231</v>
      </c>
      <c r="G7" s="20">
        <f>SUM(E7:F7)</f>
        <v>231</v>
      </c>
      <c r="H7" s="33"/>
      <c r="I7" s="61">
        <v>2</v>
      </c>
      <c r="J7" s="20">
        <f t="shared" ref="J7:J13" si="2">SUM(K7,L7)</f>
        <v>9</v>
      </c>
      <c r="K7" s="20">
        <v>0</v>
      </c>
      <c r="L7" s="20">
        <v>9</v>
      </c>
      <c r="M7" s="33"/>
      <c r="N7" s="20">
        <v>2</v>
      </c>
      <c r="O7" s="20">
        <f t="shared" ref="O7:O13" si="3">SUM(P7,Q7)</f>
        <v>13</v>
      </c>
      <c r="P7" s="20">
        <v>0</v>
      </c>
      <c r="Q7" s="20">
        <v>13</v>
      </c>
      <c r="R7" s="33"/>
      <c r="S7" s="20">
        <v>2</v>
      </c>
      <c r="T7" s="20">
        <f t="shared" si="0"/>
        <v>5</v>
      </c>
      <c r="U7" s="20">
        <v>0</v>
      </c>
      <c r="V7" s="20">
        <v>5</v>
      </c>
      <c r="W7" s="33"/>
      <c r="X7" s="20">
        <v>2</v>
      </c>
      <c r="Y7" s="20">
        <f t="shared" si="1"/>
        <v>2</v>
      </c>
      <c r="Z7" s="20">
        <v>0</v>
      </c>
      <c r="AA7" s="42">
        <v>2</v>
      </c>
    </row>
    <row r="8" spans="1:27" ht="14" customHeight="1" outlineLevel="1" x14ac:dyDescent="0.2">
      <c r="B8" s="80"/>
      <c r="C8" s="33"/>
      <c r="D8" s="20" t="s">
        <v>40</v>
      </c>
      <c r="E8" s="63"/>
      <c r="F8" s="64">
        <f>MIN(F6,F7)/MAX(F6,F7)</f>
        <v>0.74458874458874458</v>
      </c>
      <c r="G8" s="63">
        <f>MIN(G6,G7)/MAX(G6,G7)</f>
        <v>0.74458874458874458</v>
      </c>
      <c r="H8" s="33"/>
      <c r="I8" s="61">
        <v>3</v>
      </c>
      <c r="J8" s="20">
        <f t="shared" si="2"/>
        <v>9</v>
      </c>
      <c r="K8" s="20">
        <v>0</v>
      </c>
      <c r="L8" s="20">
        <v>9</v>
      </c>
      <c r="M8" s="33"/>
      <c r="N8" s="20">
        <v>3</v>
      </c>
      <c r="O8" s="20">
        <f t="shared" si="3"/>
        <v>13</v>
      </c>
      <c r="P8" s="20">
        <v>0</v>
      </c>
      <c r="Q8" s="20">
        <v>13</v>
      </c>
      <c r="R8" s="33"/>
      <c r="S8" s="20">
        <v>3</v>
      </c>
      <c r="T8" s="20">
        <f t="shared" si="0"/>
        <v>5</v>
      </c>
      <c r="U8" s="20">
        <v>0</v>
      </c>
      <c r="V8" s="20">
        <v>5</v>
      </c>
      <c r="W8" s="33"/>
      <c r="X8" s="20">
        <v>3</v>
      </c>
      <c r="Y8" s="20">
        <f t="shared" si="1"/>
        <v>2</v>
      </c>
      <c r="Z8" s="20">
        <v>0</v>
      </c>
      <c r="AA8" s="42">
        <v>2</v>
      </c>
    </row>
    <row r="9" spans="1:27" outlineLevel="1" x14ac:dyDescent="0.2">
      <c r="B9" s="41"/>
      <c r="D9" s="39"/>
      <c r="E9" s="39"/>
      <c r="F9" s="39"/>
      <c r="G9" s="39"/>
      <c r="I9" s="61">
        <v>4</v>
      </c>
      <c r="J9" s="20">
        <f t="shared" si="2"/>
        <v>9</v>
      </c>
      <c r="K9" s="20">
        <v>0</v>
      </c>
      <c r="L9" s="20">
        <v>9</v>
      </c>
      <c r="M9" s="33"/>
      <c r="N9" s="20">
        <v>4</v>
      </c>
      <c r="O9" s="20">
        <f t="shared" si="3"/>
        <v>13</v>
      </c>
      <c r="P9" s="20">
        <v>0</v>
      </c>
      <c r="Q9" s="20">
        <v>13</v>
      </c>
      <c r="R9" s="33"/>
      <c r="S9" s="20">
        <v>4</v>
      </c>
      <c r="T9" s="20">
        <f t="shared" si="0"/>
        <v>5</v>
      </c>
      <c r="U9" s="20">
        <v>0</v>
      </c>
      <c r="V9" s="20">
        <v>5</v>
      </c>
      <c r="W9" s="33"/>
      <c r="X9" s="20">
        <v>4</v>
      </c>
      <c r="Y9" s="20">
        <f t="shared" si="1"/>
        <v>2</v>
      </c>
      <c r="Z9" s="20">
        <v>0</v>
      </c>
      <c r="AA9" s="42">
        <v>2</v>
      </c>
    </row>
    <row r="10" spans="1:27" ht="16" customHeight="1" outlineLevel="1" x14ac:dyDescent="0.2">
      <c r="D10" s="20" t="s">
        <v>0</v>
      </c>
      <c r="E10" s="20" t="s">
        <v>63</v>
      </c>
      <c r="F10" s="20" t="s">
        <v>64</v>
      </c>
      <c r="G10" s="20" t="s">
        <v>37</v>
      </c>
      <c r="H10" s="33"/>
      <c r="I10" s="61">
        <v>5</v>
      </c>
      <c r="J10" s="20">
        <f t="shared" si="2"/>
        <v>9</v>
      </c>
      <c r="K10" s="20">
        <v>0</v>
      </c>
      <c r="L10" s="20">
        <v>9</v>
      </c>
      <c r="M10" s="33"/>
      <c r="N10" s="20">
        <v>5</v>
      </c>
      <c r="O10" s="20">
        <f t="shared" si="3"/>
        <v>13</v>
      </c>
      <c r="P10" s="20">
        <v>0</v>
      </c>
      <c r="Q10" s="20">
        <v>13</v>
      </c>
      <c r="R10" s="33"/>
      <c r="S10" s="20">
        <v>5</v>
      </c>
      <c r="T10" s="20">
        <f t="shared" si="0"/>
        <v>4</v>
      </c>
      <c r="U10" s="20">
        <v>0</v>
      </c>
      <c r="V10" s="20">
        <v>4</v>
      </c>
      <c r="W10" s="33"/>
      <c r="X10" s="20">
        <v>5</v>
      </c>
      <c r="Y10" s="20">
        <f t="shared" si="1"/>
        <v>2</v>
      </c>
      <c r="Z10" s="20">
        <v>0</v>
      </c>
      <c r="AA10" s="42">
        <v>2</v>
      </c>
    </row>
    <row r="11" spans="1:27" ht="16" outlineLevel="1" x14ac:dyDescent="0.2">
      <c r="C11" s="4"/>
      <c r="D11" s="20" t="s">
        <v>16</v>
      </c>
      <c r="E11" s="20">
        <f>SUM(K14,P14,)</f>
        <v>0</v>
      </c>
      <c r="F11" s="20">
        <f>SUM(L14,Q14,)</f>
        <v>136</v>
      </c>
      <c r="G11" s="20">
        <f>SUM(E11:F11)</f>
        <v>136</v>
      </c>
      <c r="H11" s="33"/>
      <c r="I11" s="61">
        <v>6</v>
      </c>
      <c r="J11" s="20">
        <f t="shared" si="2"/>
        <v>0</v>
      </c>
      <c r="K11" s="20">
        <v>0</v>
      </c>
      <c r="L11" s="20">
        <v>0</v>
      </c>
      <c r="M11" s="33"/>
      <c r="N11" s="20">
        <v>6</v>
      </c>
      <c r="O11" s="20">
        <f t="shared" si="3"/>
        <v>0</v>
      </c>
      <c r="P11" s="20">
        <v>0</v>
      </c>
      <c r="Q11" s="20">
        <v>0</v>
      </c>
      <c r="R11" s="33"/>
      <c r="S11" s="20">
        <v>6</v>
      </c>
      <c r="T11" s="20">
        <f t="shared" si="0"/>
        <v>0</v>
      </c>
      <c r="U11" s="20">
        <v>0</v>
      </c>
      <c r="V11" s="20">
        <v>0</v>
      </c>
      <c r="W11" s="33"/>
      <c r="X11" s="20">
        <v>6</v>
      </c>
      <c r="Y11" s="20">
        <f t="shared" si="1"/>
        <v>0</v>
      </c>
      <c r="Z11" s="20">
        <v>0</v>
      </c>
      <c r="AA11" s="42">
        <v>0</v>
      </c>
    </row>
    <row r="12" spans="1:27" ht="16" outlineLevel="1" x14ac:dyDescent="0.2">
      <c r="D12" s="20" t="s">
        <v>17</v>
      </c>
      <c r="E12" s="20">
        <v>0</v>
      </c>
      <c r="F12" s="20">
        <v>134</v>
      </c>
      <c r="G12" s="20">
        <f>SUM(E12:F12)</f>
        <v>134</v>
      </c>
      <c r="H12" s="33"/>
      <c r="I12" s="61">
        <v>7</v>
      </c>
      <c r="J12" s="20">
        <f t="shared" si="2"/>
        <v>0</v>
      </c>
      <c r="K12" s="20">
        <v>0</v>
      </c>
      <c r="L12" s="20">
        <v>0</v>
      </c>
      <c r="M12" s="33"/>
      <c r="N12" s="20">
        <v>7</v>
      </c>
      <c r="O12" s="20">
        <f t="shared" si="3"/>
        <v>0</v>
      </c>
      <c r="P12" s="20">
        <v>0</v>
      </c>
      <c r="Q12" s="20">
        <v>0</v>
      </c>
      <c r="R12" s="33"/>
      <c r="S12" s="20">
        <v>7</v>
      </c>
      <c r="T12" s="20">
        <f t="shared" si="0"/>
        <v>0</v>
      </c>
      <c r="U12" s="20">
        <v>0</v>
      </c>
      <c r="V12" s="20">
        <v>0</v>
      </c>
      <c r="W12" s="33"/>
      <c r="X12" s="20">
        <v>7</v>
      </c>
      <c r="Y12" s="20">
        <f t="shared" si="1"/>
        <v>0</v>
      </c>
      <c r="Z12" s="20">
        <v>0</v>
      </c>
      <c r="AA12" s="42">
        <v>0</v>
      </c>
    </row>
    <row r="13" spans="1:27" ht="17" customHeight="1" outlineLevel="1" x14ac:dyDescent="0.2">
      <c r="D13" s="20" t="s">
        <v>40</v>
      </c>
      <c r="E13" s="63"/>
      <c r="F13" s="63">
        <f>MIN(F11,F12)/MAX(F11,F12)</f>
        <v>0.98529411764705888</v>
      </c>
      <c r="G13" s="63">
        <f>MIN(G11,G12)/MAX(G11,G12)</f>
        <v>0.98529411764705888</v>
      </c>
      <c r="H13" s="33"/>
      <c r="I13" s="61" t="s">
        <v>10</v>
      </c>
      <c r="J13" s="20">
        <f t="shared" si="2"/>
        <v>13</v>
      </c>
      <c r="K13" s="20">
        <v>0</v>
      </c>
      <c r="L13" s="20">
        <v>13</v>
      </c>
      <c r="M13" s="33"/>
      <c r="N13" s="20" t="s">
        <v>10</v>
      </c>
      <c r="O13" s="20">
        <f t="shared" si="3"/>
        <v>13</v>
      </c>
      <c r="P13" s="20">
        <v>0</v>
      </c>
      <c r="Q13" s="20">
        <v>13</v>
      </c>
      <c r="R13" s="33"/>
      <c r="S13" s="20" t="s">
        <v>10</v>
      </c>
      <c r="T13" s="20">
        <f t="shared" si="0"/>
        <v>1</v>
      </c>
      <c r="U13" s="20">
        <v>0</v>
      </c>
      <c r="V13" s="20">
        <v>1</v>
      </c>
      <c r="W13" s="33"/>
      <c r="X13" s="20" t="s">
        <v>10</v>
      </c>
      <c r="Y13" s="20">
        <f t="shared" si="1"/>
        <v>3</v>
      </c>
      <c r="Z13" s="20">
        <v>0</v>
      </c>
      <c r="AA13" s="42">
        <v>3</v>
      </c>
    </row>
    <row r="14" spans="1:27" ht="16" outlineLevel="1" x14ac:dyDescent="0.2">
      <c r="D14" s="39"/>
      <c r="E14" s="39"/>
      <c r="F14" s="39"/>
      <c r="G14" s="39"/>
      <c r="I14" s="61" t="s">
        <v>13</v>
      </c>
      <c r="J14" s="20">
        <f>(SUM(J6:J13))</f>
        <v>60</v>
      </c>
      <c r="K14" s="20">
        <f>(SUM(K6:K13))</f>
        <v>0</v>
      </c>
      <c r="L14" s="20">
        <f>(SUM(L6:L13))</f>
        <v>60</v>
      </c>
      <c r="M14" s="33"/>
      <c r="N14" s="20" t="s">
        <v>13</v>
      </c>
      <c r="O14" s="20">
        <f>(SUM(O6:O13))</f>
        <v>76</v>
      </c>
      <c r="P14" s="20">
        <f>(SUM(P6:P13))</f>
        <v>0</v>
      </c>
      <c r="Q14" s="20">
        <f>(SUM(Q6:Q13))</f>
        <v>76</v>
      </c>
      <c r="R14" s="33"/>
      <c r="S14" s="20" t="s">
        <v>13</v>
      </c>
      <c r="T14" s="20">
        <f>(SUM(T6:T13))</f>
        <v>24</v>
      </c>
      <c r="U14" s="20">
        <f>(SUM(U6:U13))</f>
        <v>0</v>
      </c>
      <c r="V14" s="20">
        <f>(SUM(V6:V13))</f>
        <v>24</v>
      </c>
      <c r="W14" s="33"/>
      <c r="X14" s="20" t="s">
        <v>13</v>
      </c>
      <c r="Y14" s="20">
        <f>(SUM(Y6:Y13))</f>
        <v>12</v>
      </c>
      <c r="Z14" s="20">
        <f>(SUM(Z6:Z13))</f>
        <v>0</v>
      </c>
      <c r="AA14" s="42">
        <f>(SUM(AA6:AA13))</f>
        <v>12</v>
      </c>
    </row>
    <row r="15" spans="1:27" outlineLevel="1" x14ac:dyDescent="0.2">
      <c r="I15" s="65"/>
      <c r="J15" s="39"/>
      <c r="K15" s="39"/>
      <c r="L15" s="39"/>
      <c r="N15" s="39"/>
      <c r="O15" s="39"/>
      <c r="P15" s="39"/>
      <c r="Q15" s="39"/>
      <c r="S15" s="39"/>
      <c r="T15" s="39"/>
      <c r="U15" s="39"/>
      <c r="V15" s="39"/>
      <c r="X15" s="39"/>
      <c r="Y15" s="39"/>
      <c r="Z15" s="39"/>
      <c r="AA15" s="39"/>
    </row>
    <row r="16" spans="1:27" outlineLevel="1" x14ac:dyDescent="0.2"/>
    <row r="17" spans="1:27" ht="20" customHeight="1" x14ac:dyDescent="0.2">
      <c r="B17" s="2">
        <v>35</v>
      </c>
      <c r="I17" s="61" t="s">
        <v>77</v>
      </c>
      <c r="J17" s="20">
        <v>1</v>
      </c>
      <c r="K17" s="20" t="s">
        <v>12</v>
      </c>
      <c r="L17" s="20" t="s">
        <v>15</v>
      </c>
      <c r="M17" s="33"/>
      <c r="N17" s="20" t="s">
        <v>77</v>
      </c>
      <c r="O17" s="20">
        <v>2</v>
      </c>
      <c r="P17" s="20" t="s">
        <v>12</v>
      </c>
      <c r="Q17" s="20" t="s">
        <v>14</v>
      </c>
      <c r="R17" s="33"/>
    </row>
    <row r="18" spans="1:27" ht="17" customHeight="1" outlineLevel="1" x14ac:dyDescent="0.2">
      <c r="I18" s="61" t="s">
        <v>11</v>
      </c>
      <c r="J18" s="62" t="s">
        <v>8</v>
      </c>
      <c r="K18" s="20"/>
      <c r="L18" s="20"/>
      <c r="M18" s="33"/>
      <c r="N18" s="20" t="s">
        <v>11</v>
      </c>
      <c r="O18" s="62" t="s">
        <v>6</v>
      </c>
      <c r="P18" s="20"/>
      <c r="Q18" s="20"/>
      <c r="R18" s="33"/>
    </row>
    <row r="19" spans="1:27" ht="17" customHeight="1" outlineLevel="1" x14ac:dyDescent="0.2">
      <c r="D19" s="20" t="s">
        <v>38</v>
      </c>
      <c r="E19" s="20" t="s">
        <v>60</v>
      </c>
      <c r="F19" s="20" t="s">
        <v>61</v>
      </c>
      <c r="G19" s="20" t="s">
        <v>43</v>
      </c>
      <c r="H19" s="33"/>
      <c r="I19" s="61" t="s">
        <v>9</v>
      </c>
      <c r="J19" s="20" t="s">
        <v>66</v>
      </c>
      <c r="K19" s="20" t="s">
        <v>60</v>
      </c>
      <c r="L19" s="20" t="s">
        <v>62</v>
      </c>
      <c r="M19" s="33"/>
      <c r="N19" s="20" t="s">
        <v>9</v>
      </c>
      <c r="O19" s="20" t="s">
        <v>66</v>
      </c>
      <c r="P19" s="20" t="s">
        <v>60</v>
      </c>
      <c r="Q19" s="20" t="s">
        <v>62</v>
      </c>
      <c r="R19" s="33"/>
    </row>
    <row r="20" spans="1:27" ht="16" outlineLevel="1" x14ac:dyDescent="0.2">
      <c r="D20" s="20" t="s">
        <v>16</v>
      </c>
      <c r="E20" s="20">
        <f>SUM(K28,P28,U28,Z28)</f>
        <v>19</v>
      </c>
      <c r="F20" s="20">
        <f>SUM(L28,Q28,V28,AA28)</f>
        <v>29</v>
      </c>
      <c r="G20" s="20">
        <f>SUM(E20:F20)</f>
        <v>48</v>
      </c>
      <c r="H20" s="33"/>
      <c r="I20" s="61">
        <v>1</v>
      </c>
      <c r="J20" s="20">
        <f>SUM(K20,L20)</f>
        <v>4</v>
      </c>
      <c r="K20" s="20">
        <v>0</v>
      </c>
      <c r="L20" s="20">
        <v>4</v>
      </c>
      <c r="M20" s="33"/>
      <c r="N20" s="20">
        <v>1</v>
      </c>
      <c r="O20" s="20">
        <f>SUM(P20,Q20)</f>
        <v>2</v>
      </c>
      <c r="P20" s="20">
        <v>0</v>
      </c>
      <c r="Q20" s="20">
        <v>2</v>
      </c>
      <c r="R20" s="33"/>
    </row>
    <row r="21" spans="1:27" ht="16" outlineLevel="1" x14ac:dyDescent="0.2">
      <c r="B21" s="79" t="s">
        <v>57</v>
      </c>
      <c r="C21" s="33"/>
      <c r="D21" s="20" t="s">
        <v>17</v>
      </c>
      <c r="E21" s="20">
        <v>138</v>
      </c>
      <c r="F21" s="20">
        <v>16</v>
      </c>
      <c r="G21" s="20">
        <f>SUM(E21:F21)</f>
        <v>154</v>
      </c>
      <c r="H21" s="33"/>
      <c r="I21" s="61">
        <v>2</v>
      </c>
      <c r="J21" s="20">
        <f t="shared" ref="J21:J27" si="4">SUM(K21,L21)</f>
        <v>6</v>
      </c>
      <c r="K21" s="20">
        <v>6</v>
      </c>
      <c r="L21" s="20">
        <v>0</v>
      </c>
      <c r="M21" s="33"/>
      <c r="N21" s="20">
        <v>2</v>
      </c>
      <c r="O21" s="20">
        <f t="shared" ref="O21:O27" si="5">SUM(P21,Q21)</f>
        <v>5</v>
      </c>
      <c r="P21" s="20">
        <v>2</v>
      </c>
      <c r="Q21" s="20">
        <v>3</v>
      </c>
      <c r="R21" s="33"/>
    </row>
    <row r="22" spans="1:27" ht="17" customHeight="1" outlineLevel="1" x14ac:dyDescent="0.2">
      <c r="B22" s="79"/>
      <c r="C22" s="33"/>
      <c r="D22" s="20" t="s">
        <v>40</v>
      </c>
      <c r="E22" s="63">
        <f>MIN(E20,E21)/MAX(E20,E21)</f>
        <v>0.13768115942028986</v>
      </c>
      <c r="F22" s="63">
        <f>MIN(F20,F21)/MAX(F20,F21)</f>
        <v>0.55172413793103448</v>
      </c>
      <c r="G22" s="63">
        <f>MIN(G20,G21)/MAX(G20,G21)</f>
        <v>0.31168831168831168</v>
      </c>
      <c r="H22" s="33"/>
      <c r="I22" s="61">
        <v>3</v>
      </c>
      <c r="J22" s="20">
        <f t="shared" si="4"/>
        <v>6</v>
      </c>
      <c r="K22" s="20">
        <v>6</v>
      </c>
      <c r="L22" s="20">
        <v>0</v>
      </c>
      <c r="M22" s="33"/>
      <c r="N22" s="20">
        <v>3</v>
      </c>
      <c r="O22" s="20">
        <f t="shared" si="5"/>
        <v>5</v>
      </c>
      <c r="P22" s="20">
        <v>2</v>
      </c>
      <c r="Q22" s="20">
        <v>3</v>
      </c>
      <c r="R22" s="33"/>
    </row>
    <row r="23" spans="1:27" outlineLevel="1" x14ac:dyDescent="0.2">
      <c r="B23" s="41"/>
      <c r="D23" s="39"/>
      <c r="E23" s="39"/>
      <c r="F23" s="63"/>
      <c r="G23" s="63"/>
      <c r="H23" s="33"/>
      <c r="I23" s="61">
        <v>4</v>
      </c>
      <c r="J23" s="20">
        <f t="shared" si="4"/>
        <v>6</v>
      </c>
      <c r="K23" s="20">
        <v>2</v>
      </c>
      <c r="L23" s="20">
        <v>4</v>
      </c>
      <c r="M23" s="33"/>
      <c r="N23" s="20">
        <v>4</v>
      </c>
      <c r="O23" s="20">
        <f t="shared" si="5"/>
        <v>5</v>
      </c>
      <c r="P23" s="20">
        <v>1</v>
      </c>
      <c r="Q23" s="20">
        <v>4</v>
      </c>
      <c r="R23" s="33"/>
    </row>
    <row r="24" spans="1:27" ht="15" customHeight="1" outlineLevel="1" x14ac:dyDescent="0.2">
      <c r="D24" s="20" t="s">
        <v>0</v>
      </c>
      <c r="E24" s="20" t="s">
        <v>63</v>
      </c>
      <c r="F24" s="20" t="s">
        <v>64</v>
      </c>
      <c r="G24" s="20" t="s">
        <v>37</v>
      </c>
      <c r="H24" s="33"/>
      <c r="I24" s="61">
        <v>5</v>
      </c>
      <c r="J24" s="20">
        <f t="shared" si="4"/>
        <v>0</v>
      </c>
      <c r="K24" s="20">
        <v>0</v>
      </c>
      <c r="L24" s="20">
        <v>0</v>
      </c>
      <c r="M24" s="33"/>
      <c r="N24" s="20">
        <v>5</v>
      </c>
      <c r="O24" s="20">
        <f t="shared" si="5"/>
        <v>0</v>
      </c>
      <c r="P24" s="20">
        <v>0</v>
      </c>
      <c r="Q24" s="20">
        <v>0</v>
      </c>
      <c r="R24" s="33"/>
    </row>
    <row r="25" spans="1:27" ht="16" outlineLevel="1" x14ac:dyDescent="0.2">
      <c r="D25" s="20" t="s">
        <v>16</v>
      </c>
      <c r="E25" s="20">
        <f>SUM(K28,)</f>
        <v>14</v>
      </c>
      <c r="F25" s="20">
        <f>SUM(L28,)</f>
        <v>13</v>
      </c>
      <c r="G25" s="20">
        <f>SUM(E25:F25)</f>
        <v>27</v>
      </c>
      <c r="H25" s="33"/>
      <c r="I25" s="61">
        <v>6</v>
      </c>
      <c r="J25" s="20">
        <f t="shared" si="4"/>
        <v>0</v>
      </c>
      <c r="K25" s="20">
        <v>0</v>
      </c>
      <c r="L25" s="20">
        <v>0</v>
      </c>
      <c r="M25" s="33"/>
      <c r="N25" s="20">
        <v>6</v>
      </c>
      <c r="O25" s="20">
        <f t="shared" si="5"/>
        <v>0</v>
      </c>
      <c r="P25" s="20">
        <v>0</v>
      </c>
      <c r="Q25" s="20">
        <v>0</v>
      </c>
      <c r="R25" s="33"/>
    </row>
    <row r="26" spans="1:27" ht="16" outlineLevel="1" x14ac:dyDescent="0.2">
      <c r="D26" s="20" t="s">
        <v>17</v>
      </c>
      <c r="E26" s="20">
        <v>26</v>
      </c>
      <c r="F26" s="20">
        <v>3</v>
      </c>
      <c r="G26" s="20">
        <f>SUM(E26:F26)</f>
        <v>29</v>
      </c>
      <c r="H26" s="33"/>
      <c r="I26" s="61">
        <v>7</v>
      </c>
      <c r="J26" s="20">
        <f t="shared" si="4"/>
        <v>0</v>
      </c>
      <c r="K26" s="20">
        <v>0</v>
      </c>
      <c r="L26" s="20">
        <v>0</v>
      </c>
      <c r="M26" s="33"/>
      <c r="N26" s="20">
        <v>7</v>
      </c>
      <c r="O26" s="20">
        <f t="shared" si="5"/>
        <v>0</v>
      </c>
      <c r="P26" s="20">
        <v>0</v>
      </c>
      <c r="Q26" s="20">
        <v>0</v>
      </c>
      <c r="R26" s="33"/>
    </row>
    <row r="27" spans="1:27" ht="16" customHeight="1" outlineLevel="1" x14ac:dyDescent="0.2">
      <c r="D27" s="20" t="s">
        <v>40</v>
      </c>
      <c r="E27" s="63">
        <f>MIN(E25,E26)/MAX(E25,E26)</f>
        <v>0.53846153846153844</v>
      </c>
      <c r="F27" s="63">
        <f>MIN(F25,F26)/MAX(F25,F26)</f>
        <v>0.23076923076923078</v>
      </c>
      <c r="G27" s="64">
        <f>MIN(G25,G26)/MAX(G25,G26)</f>
        <v>0.93103448275862066</v>
      </c>
      <c r="H27" s="33"/>
      <c r="I27" s="61" t="s">
        <v>10</v>
      </c>
      <c r="J27" s="20">
        <f t="shared" si="4"/>
        <v>5</v>
      </c>
      <c r="K27" s="20">
        <v>0</v>
      </c>
      <c r="L27" s="20">
        <v>5</v>
      </c>
      <c r="M27" s="33"/>
      <c r="N27" s="20" t="s">
        <v>10</v>
      </c>
      <c r="O27" s="20">
        <f t="shared" si="5"/>
        <v>4</v>
      </c>
      <c r="P27" s="20">
        <v>0</v>
      </c>
      <c r="Q27" s="20">
        <v>4</v>
      </c>
      <c r="R27" s="33"/>
    </row>
    <row r="28" spans="1:27" ht="16" outlineLevel="1" x14ac:dyDescent="0.2">
      <c r="D28" s="39"/>
      <c r="E28" s="39"/>
      <c r="F28" s="39"/>
      <c r="G28" s="39"/>
      <c r="I28" s="61" t="s">
        <v>13</v>
      </c>
      <c r="J28" s="20">
        <f>(SUM(J20:J27))</f>
        <v>27</v>
      </c>
      <c r="K28" s="20">
        <f>(SUM(K20:K27))</f>
        <v>14</v>
      </c>
      <c r="L28" s="20">
        <f>(SUM(L20:L27))</f>
        <v>13</v>
      </c>
      <c r="M28" s="33"/>
      <c r="N28" s="20" t="s">
        <v>13</v>
      </c>
      <c r="O28" s="20">
        <f>(SUM(O20:O27))</f>
        <v>21</v>
      </c>
      <c r="P28" s="20">
        <f>(SUM(P20:P27))</f>
        <v>5</v>
      </c>
      <c r="Q28" s="20">
        <f>(SUM(Q20:Q27))</f>
        <v>16</v>
      </c>
      <c r="R28" s="33"/>
    </row>
    <row r="29" spans="1:27" outlineLevel="1" x14ac:dyDescent="0.2">
      <c r="I29" s="65"/>
      <c r="J29" s="39"/>
      <c r="K29" s="39"/>
      <c r="L29" s="39"/>
      <c r="N29" s="39"/>
      <c r="O29" s="39"/>
      <c r="P29" s="39"/>
      <c r="Q29" s="39"/>
    </row>
    <row r="31" spans="1:27" ht="19" customHeight="1" outlineLevel="1" x14ac:dyDescent="0.2">
      <c r="A31" s="1" t="s">
        <v>26</v>
      </c>
      <c r="B31" s="2">
        <v>72</v>
      </c>
      <c r="I31" s="61" t="s">
        <v>77</v>
      </c>
      <c r="J31" s="20">
        <v>1</v>
      </c>
      <c r="K31" s="20" t="s">
        <v>12</v>
      </c>
      <c r="L31" s="20" t="s">
        <v>15</v>
      </c>
      <c r="M31" s="33"/>
      <c r="N31" s="20" t="s">
        <v>77</v>
      </c>
      <c r="O31" s="20">
        <v>2</v>
      </c>
      <c r="P31" s="20" t="s">
        <v>12</v>
      </c>
      <c r="Q31" s="20" t="s">
        <v>15</v>
      </c>
      <c r="R31" s="33"/>
      <c r="S31" s="20" t="s">
        <v>77</v>
      </c>
      <c r="T31" s="20">
        <v>3</v>
      </c>
      <c r="U31" s="20" t="s">
        <v>12</v>
      </c>
      <c r="V31" s="20" t="s">
        <v>15</v>
      </c>
      <c r="W31" s="33"/>
      <c r="X31" s="20" t="s">
        <v>77</v>
      </c>
      <c r="Y31" s="20">
        <v>4</v>
      </c>
      <c r="Z31" s="20" t="s">
        <v>12</v>
      </c>
      <c r="AA31" s="42" t="s">
        <v>14</v>
      </c>
    </row>
    <row r="32" spans="1:27" ht="18" customHeight="1" outlineLevel="1" x14ac:dyDescent="0.2">
      <c r="I32" s="61" t="s">
        <v>11</v>
      </c>
      <c r="J32" s="62" t="s">
        <v>6</v>
      </c>
      <c r="K32" s="20"/>
      <c r="L32" s="20"/>
      <c r="M32" s="33"/>
      <c r="N32" s="20" t="s">
        <v>11</v>
      </c>
      <c r="O32" s="62" t="s">
        <v>7</v>
      </c>
      <c r="P32" s="20"/>
      <c r="Q32" s="20"/>
      <c r="R32" s="33"/>
      <c r="S32" s="20" t="s">
        <v>11</v>
      </c>
      <c r="T32" s="62" t="s">
        <v>8</v>
      </c>
      <c r="U32" s="20"/>
      <c r="V32" s="20"/>
      <c r="W32" s="33"/>
      <c r="X32" s="20" t="s">
        <v>11</v>
      </c>
      <c r="Y32" s="62" t="s">
        <v>5</v>
      </c>
      <c r="Z32" s="20"/>
      <c r="AA32" s="42"/>
    </row>
    <row r="33" spans="2:27" ht="17" customHeight="1" outlineLevel="1" x14ac:dyDescent="0.2">
      <c r="D33" s="20" t="s">
        <v>38</v>
      </c>
      <c r="E33" s="20" t="s">
        <v>60</v>
      </c>
      <c r="F33" s="20" t="s">
        <v>61</v>
      </c>
      <c r="G33" s="20" t="s">
        <v>43</v>
      </c>
      <c r="H33" s="33"/>
      <c r="I33" s="61" t="s">
        <v>9</v>
      </c>
      <c r="J33" s="20" t="s">
        <v>66</v>
      </c>
      <c r="K33" s="20" t="s">
        <v>60</v>
      </c>
      <c r="L33" s="20" t="s">
        <v>62</v>
      </c>
      <c r="M33" s="33"/>
      <c r="N33" s="20" t="s">
        <v>9</v>
      </c>
      <c r="O33" s="20" t="s">
        <v>66</v>
      </c>
      <c r="P33" s="20" t="s">
        <v>60</v>
      </c>
      <c r="Q33" s="20" t="s">
        <v>62</v>
      </c>
      <c r="R33" s="33"/>
      <c r="S33" s="20" t="s">
        <v>9</v>
      </c>
      <c r="T33" s="20" t="s">
        <v>66</v>
      </c>
      <c r="U33" s="20" t="s">
        <v>60</v>
      </c>
      <c r="V33" s="20" t="s">
        <v>62</v>
      </c>
      <c r="W33" s="33"/>
      <c r="X33" s="20" t="s">
        <v>9</v>
      </c>
      <c r="Y33" s="20" t="s">
        <v>66</v>
      </c>
      <c r="Z33" s="20" t="s">
        <v>60</v>
      </c>
      <c r="AA33" s="42" t="s">
        <v>62</v>
      </c>
    </row>
    <row r="34" spans="2:27" ht="16" outlineLevel="1" x14ac:dyDescent="0.2">
      <c r="D34" s="20" t="s">
        <v>16</v>
      </c>
      <c r="E34" s="20">
        <f>SUM(K42,P42,U42,Z42,K55,P55)</f>
        <v>0</v>
      </c>
      <c r="F34" s="20">
        <f>SUM(L42,Q42,V42,AA42,L55,Q55)</f>
        <v>344</v>
      </c>
      <c r="G34" s="20">
        <f>SUM(E34:F34)</f>
        <v>344</v>
      </c>
      <c r="H34" s="33"/>
      <c r="I34" s="61">
        <v>1</v>
      </c>
      <c r="J34" s="20">
        <f>SUM(K34,L34)</f>
        <v>3</v>
      </c>
      <c r="K34" s="20">
        <v>0</v>
      </c>
      <c r="L34" s="20">
        <v>3</v>
      </c>
      <c r="M34" s="33"/>
      <c r="N34" s="20">
        <v>1</v>
      </c>
      <c r="O34" s="20">
        <f>SUM(P34,Q34)</f>
        <v>10</v>
      </c>
      <c r="P34" s="20">
        <v>0</v>
      </c>
      <c r="Q34" s="20">
        <v>10</v>
      </c>
      <c r="R34" s="33"/>
      <c r="S34" s="20">
        <v>1</v>
      </c>
      <c r="T34" s="20">
        <f>SUM(U34,V34)</f>
        <v>3</v>
      </c>
      <c r="U34" s="20">
        <v>0</v>
      </c>
      <c r="V34" s="20">
        <v>3</v>
      </c>
      <c r="W34" s="33"/>
      <c r="X34" s="20">
        <v>1</v>
      </c>
      <c r="Y34" s="20">
        <f>SUM(Z34,AA34)</f>
        <v>6</v>
      </c>
      <c r="Z34" s="20">
        <v>0</v>
      </c>
      <c r="AA34" s="42">
        <v>6</v>
      </c>
    </row>
    <row r="35" spans="2:27" ht="16" outlineLevel="1" x14ac:dyDescent="0.2">
      <c r="D35" s="20" t="s">
        <v>17</v>
      </c>
      <c r="E35" s="20">
        <v>0</v>
      </c>
      <c r="F35" s="20">
        <v>282</v>
      </c>
      <c r="G35" s="20">
        <f>SUM(E35:F35)</f>
        <v>282</v>
      </c>
      <c r="H35" s="33"/>
      <c r="I35" s="61">
        <v>2</v>
      </c>
      <c r="J35" s="20">
        <f t="shared" ref="J35:J41" si="6">SUM(K35,L35)</f>
        <v>12</v>
      </c>
      <c r="K35" s="20">
        <v>0</v>
      </c>
      <c r="L35" s="20">
        <v>12</v>
      </c>
      <c r="M35" s="33"/>
      <c r="N35" s="20">
        <v>2</v>
      </c>
      <c r="O35" s="20">
        <f t="shared" ref="O35:O41" si="7">SUM(P35,Q35)</f>
        <v>16</v>
      </c>
      <c r="P35" s="20">
        <v>0</v>
      </c>
      <c r="Q35" s="20">
        <v>16</v>
      </c>
      <c r="R35" s="33"/>
      <c r="S35" s="20">
        <v>2</v>
      </c>
      <c r="T35" s="20">
        <f t="shared" ref="T35:T41" si="8">SUM(U35,V35)</f>
        <v>12</v>
      </c>
      <c r="U35" s="20">
        <v>0</v>
      </c>
      <c r="V35" s="20">
        <v>12</v>
      </c>
      <c r="W35" s="33"/>
      <c r="X35" s="20">
        <v>2</v>
      </c>
      <c r="Y35" s="20">
        <f t="shared" ref="Y35:Y41" si="9">SUM(Z35,AA35)</f>
        <v>6</v>
      </c>
      <c r="Z35" s="20">
        <v>0</v>
      </c>
      <c r="AA35" s="42">
        <v>6</v>
      </c>
    </row>
    <row r="36" spans="2:27" ht="18" customHeight="1" outlineLevel="1" x14ac:dyDescent="0.2">
      <c r="D36" s="20" t="s">
        <v>40</v>
      </c>
      <c r="E36" s="63"/>
      <c r="F36" s="63">
        <f>MIN(F34,F35)/MAX(F34,F35)</f>
        <v>0.81976744186046513</v>
      </c>
      <c r="G36" s="63">
        <f>MIN(G34,G35)/MAX(G34,G35)</f>
        <v>0.81976744186046513</v>
      </c>
      <c r="H36" s="33"/>
      <c r="I36" s="61">
        <v>3</v>
      </c>
      <c r="J36" s="20">
        <f t="shared" si="6"/>
        <v>12</v>
      </c>
      <c r="K36" s="20">
        <v>0</v>
      </c>
      <c r="L36" s="20">
        <v>12</v>
      </c>
      <c r="M36" s="33"/>
      <c r="N36" s="20">
        <v>3</v>
      </c>
      <c r="O36" s="20">
        <f t="shared" si="7"/>
        <v>12</v>
      </c>
      <c r="P36" s="20">
        <v>0</v>
      </c>
      <c r="Q36" s="20">
        <v>12</v>
      </c>
      <c r="R36" s="33"/>
      <c r="S36" s="20">
        <v>3</v>
      </c>
      <c r="T36" s="20">
        <f t="shared" si="8"/>
        <v>12</v>
      </c>
      <c r="U36" s="20">
        <v>0</v>
      </c>
      <c r="V36" s="20">
        <v>12</v>
      </c>
      <c r="W36" s="33"/>
      <c r="X36" s="20">
        <v>3</v>
      </c>
      <c r="Y36" s="20">
        <f t="shared" si="9"/>
        <v>6</v>
      </c>
      <c r="Z36" s="20">
        <v>0</v>
      </c>
      <c r="AA36" s="42">
        <v>6</v>
      </c>
    </row>
    <row r="37" spans="2:27" outlineLevel="1" x14ac:dyDescent="0.2">
      <c r="D37" s="39"/>
      <c r="E37" s="39"/>
      <c r="F37" s="39"/>
      <c r="G37" s="39"/>
      <c r="I37" s="61">
        <v>4</v>
      </c>
      <c r="J37" s="20">
        <f t="shared" si="6"/>
        <v>12</v>
      </c>
      <c r="K37" s="20">
        <v>0</v>
      </c>
      <c r="L37" s="20">
        <v>12</v>
      </c>
      <c r="M37" s="33"/>
      <c r="N37" s="20">
        <v>4</v>
      </c>
      <c r="O37" s="20">
        <f t="shared" si="7"/>
        <v>12</v>
      </c>
      <c r="P37" s="20">
        <v>0</v>
      </c>
      <c r="Q37" s="20">
        <v>12</v>
      </c>
      <c r="R37" s="33"/>
      <c r="S37" s="20">
        <v>4</v>
      </c>
      <c r="T37" s="20">
        <f t="shared" si="8"/>
        <v>12</v>
      </c>
      <c r="U37" s="20">
        <v>0</v>
      </c>
      <c r="V37" s="20">
        <v>12</v>
      </c>
      <c r="W37" s="33"/>
      <c r="X37" s="20">
        <v>4</v>
      </c>
      <c r="Y37" s="20">
        <f t="shared" si="9"/>
        <v>6</v>
      </c>
      <c r="Z37" s="20">
        <v>0</v>
      </c>
      <c r="AA37" s="42">
        <v>6</v>
      </c>
    </row>
    <row r="38" spans="2:27" ht="15" customHeight="1" outlineLevel="1" x14ac:dyDescent="0.2">
      <c r="D38" s="20" t="s">
        <v>0</v>
      </c>
      <c r="E38" s="20" t="s">
        <v>63</v>
      </c>
      <c r="F38" s="20" t="s">
        <v>64</v>
      </c>
      <c r="G38" s="20" t="s">
        <v>37</v>
      </c>
      <c r="H38" s="33"/>
      <c r="I38" s="61">
        <v>5</v>
      </c>
      <c r="J38" s="20">
        <f t="shared" si="6"/>
        <v>19</v>
      </c>
      <c r="K38" s="20">
        <v>0</v>
      </c>
      <c r="L38" s="20">
        <v>19</v>
      </c>
      <c r="M38" s="33"/>
      <c r="N38" s="20">
        <v>5</v>
      </c>
      <c r="O38" s="20">
        <f t="shared" si="7"/>
        <v>8</v>
      </c>
      <c r="P38" s="20">
        <v>0</v>
      </c>
      <c r="Q38" s="20">
        <v>8</v>
      </c>
      <c r="R38" s="33"/>
      <c r="S38" s="20">
        <v>5</v>
      </c>
      <c r="T38" s="20">
        <f t="shared" si="8"/>
        <v>19</v>
      </c>
      <c r="U38" s="20">
        <v>0</v>
      </c>
      <c r="V38" s="20">
        <v>19</v>
      </c>
      <c r="W38" s="33"/>
      <c r="X38" s="20">
        <v>5</v>
      </c>
      <c r="Y38" s="20">
        <f t="shared" si="9"/>
        <v>0</v>
      </c>
      <c r="Z38" s="20">
        <v>0</v>
      </c>
      <c r="AA38" s="42">
        <v>0</v>
      </c>
    </row>
    <row r="39" spans="2:27" ht="16" outlineLevel="1" x14ac:dyDescent="0.2">
      <c r="D39" s="20" t="s">
        <v>16</v>
      </c>
      <c r="E39" s="20">
        <f>SUM(K42,P42,U42)</f>
        <v>0</v>
      </c>
      <c r="F39" s="20">
        <f>SUM(L42,Q42,V42)</f>
        <v>230</v>
      </c>
      <c r="G39" s="20">
        <f>SUM(E39:F39)</f>
        <v>230</v>
      </c>
      <c r="H39" s="33"/>
      <c r="I39" s="61">
        <v>6</v>
      </c>
      <c r="J39" s="20">
        <f t="shared" si="6"/>
        <v>0</v>
      </c>
      <c r="K39" s="20">
        <v>0</v>
      </c>
      <c r="L39" s="20">
        <v>0</v>
      </c>
      <c r="M39" s="33"/>
      <c r="N39" s="20">
        <v>6</v>
      </c>
      <c r="O39" s="20">
        <f t="shared" si="7"/>
        <v>0</v>
      </c>
      <c r="P39" s="20">
        <v>0</v>
      </c>
      <c r="Q39" s="20">
        <v>0</v>
      </c>
      <c r="R39" s="33"/>
      <c r="S39" s="20">
        <v>6</v>
      </c>
      <c r="T39" s="20">
        <f t="shared" si="8"/>
        <v>0</v>
      </c>
      <c r="U39" s="20">
        <v>0</v>
      </c>
      <c r="V39" s="20">
        <v>0</v>
      </c>
      <c r="W39" s="33"/>
      <c r="X39" s="20">
        <v>6</v>
      </c>
      <c r="Y39" s="20">
        <f t="shared" si="9"/>
        <v>0</v>
      </c>
      <c r="Z39" s="20">
        <v>0</v>
      </c>
      <c r="AA39" s="42">
        <v>0</v>
      </c>
    </row>
    <row r="40" spans="2:27" ht="16" outlineLevel="1" x14ac:dyDescent="0.2">
      <c r="B40" s="79" t="s">
        <v>48</v>
      </c>
      <c r="C40" s="33"/>
      <c r="D40" s="20" t="s">
        <v>17</v>
      </c>
      <c r="E40" s="20">
        <v>0</v>
      </c>
      <c r="F40" s="20">
        <v>171</v>
      </c>
      <c r="G40" s="20">
        <f>SUM(E40:F40)</f>
        <v>171</v>
      </c>
      <c r="H40" s="33"/>
      <c r="I40" s="61">
        <v>7</v>
      </c>
      <c r="J40" s="20">
        <f t="shared" si="6"/>
        <v>0</v>
      </c>
      <c r="K40" s="20">
        <v>0</v>
      </c>
      <c r="L40" s="20">
        <v>0</v>
      </c>
      <c r="M40" s="33"/>
      <c r="N40" s="20">
        <v>7</v>
      </c>
      <c r="O40" s="20">
        <f t="shared" si="7"/>
        <v>0</v>
      </c>
      <c r="P40" s="20">
        <v>0</v>
      </c>
      <c r="Q40" s="20">
        <v>0</v>
      </c>
      <c r="R40" s="33"/>
      <c r="S40" s="20">
        <v>7</v>
      </c>
      <c r="T40" s="20">
        <f t="shared" si="8"/>
        <v>0</v>
      </c>
      <c r="U40" s="20">
        <v>0</v>
      </c>
      <c r="V40" s="20">
        <v>0</v>
      </c>
      <c r="W40" s="33"/>
      <c r="X40" s="20">
        <v>7</v>
      </c>
      <c r="Y40" s="20">
        <f t="shared" si="9"/>
        <v>0</v>
      </c>
      <c r="Z40" s="20">
        <v>0</v>
      </c>
      <c r="AA40" s="42">
        <v>0</v>
      </c>
    </row>
    <row r="41" spans="2:27" ht="14" customHeight="1" outlineLevel="1" x14ac:dyDescent="0.2">
      <c r="B41" s="79"/>
      <c r="C41" s="33"/>
      <c r="D41" s="20" t="s">
        <v>40</v>
      </c>
      <c r="E41" s="63"/>
      <c r="F41" s="63">
        <f>MIN(F39,F40)/MAX(F39,F40)</f>
        <v>0.74347826086956526</v>
      </c>
      <c r="G41" s="63">
        <f>MIN(G39,G40)/MAX(G39,G40)</f>
        <v>0.74347826086956526</v>
      </c>
      <c r="H41" s="33"/>
      <c r="I41" s="61" t="s">
        <v>10</v>
      </c>
      <c r="J41" s="20">
        <f t="shared" si="6"/>
        <v>15</v>
      </c>
      <c r="K41" s="20">
        <v>0</v>
      </c>
      <c r="L41" s="20">
        <v>15</v>
      </c>
      <c r="M41" s="33"/>
      <c r="N41" s="20" t="s">
        <v>10</v>
      </c>
      <c r="O41" s="20">
        <f t="shared" si="7"/>
        <v>26</v>
      </c>
      <c r="P41" s="20">
        <v>0</v>
      </c>
      <c r="Q41" s="20">
        <v>26</v>
      </c>
      <c r="R41" s="33"/>
      <c r="S41" s="20" t="s">
        <v>10</v>
      </c>
      <c r="T41" s="20">
        <f t="shared" si="8"/>
        <v>15</v>
      </c>
      <c r="U41" s="20">
        <v>0</v>
      </c>
      <c r="V41" s="20">
        <v>15</v>
      </c>
      <c r="W41" s="33"/>
      <c r="X41" s="20" t="s">
        <v>10</v>
      </c>
      <c r="Y41" s="20">
        <f t="shared" si="9"/>
        <v>18</v>
      </c>
      <c r="Z41" s="20">
        <v>0</v>
      </c>
      <c r="AA41" s="42">
        <v>18</v>
      </c>
    </row>
    <row r="42" spans="2:27" ht="16" outlineLevel="1" x14ac:dyDescent="0.2">
      <c r="B42" s="41"/>
      <c r="D42" s="39"/>
      <c r="E42" s="39"/>
      <c r="F42" s="39"/>
      <c r="G42" s="39"/>
      <c r="I42" s="61" t="s">
        <v>13</v>
      </c>
      <c r="J42" s="20">
        <f>(SUM(J34:J41))</f>
        <v>73</v>
      </c>
      <c r="K42" s="20">
        <f>(SUM(K34:K41))</f>
        <v>0</v>
      </c>
      <c r="L42" s="20">
        <f>(SUM(L34:L41))</f>
        <v>73</v>
      </c>
      <c r="M42" s="33"/>
      <c r="N42" s="20" t="s">
        <v>13</v>
      </c>
      <c r="O42" s="20">
        <f>(SUM(O34:O41))</f>
        <v>84</v>
      </c>
      <c r="P42" s="20">
        <f>(SUM(P34:P41))</f>
        <v>0</v>
      </c>
      <c r="Q42" s="20">
        <f>(SUM(Q34:Q41))</f>
        <v>84</v>
      </c>
      <c r="R42" s="33"/>
      <c r="S42" s="20" t="s">
        <v>13</v>
      </c>
      <c r="T42" s="20">
        <f>(SUM(T34:T41))</f>
        <v>73</v>
      </c>
      <c r="U42" s="20">
        <f>(SUM(U34:U41))</f>
        <v>0</v>
      </c>
      <c r="V42" s="20">
        <f>(SUM(V34:V41))</f>
        <v>73</v>
      </c>
      <c r="W42" s="33"/>
      <c r="X42" s="20" t="s">
        <v>13</v>
      </c>
      <c r="Y42" s="20">
        <f>(SUM(Y34:Y41))</f>
        <v>42</v>
      </c>
      <c r="Z42" s="20">
        <f>(SUM(Z34:Z41))</f>
        <v>0</v>
      </c>
      <c r="AA42" s="42">
        <f>(SUM(AA34:AA41))</f>
        <v>42</v>
      </c>
    </row>
    <row r="43" spans="2:27" outlineLevel="1" x14ac:dyDescent="0.2">
      <c r="I43" s="65"/>
      <c r="J43" s="39"/>
      <c r="K43" s="39"/>
      <c r="L43" s="39"/>
      <c r="N43" s="39"/>
      <c r="O43" s="39"/>
      <c r="P43" s="39"/>
      <c r="Q43" s="39"/>
      <c r="S43" s="39"/>
      <c r="T43" s="39"/>
      <c r="U43" s="39"/>
      <c r="V43" s="39"/>
      <c r="X43" s="39"/>
      <c r="Y43" s="39"/>
      <c r="Z43" s="39"/>
      <c r="AA43" s="39"/>
    </row>
    <row r="44" spans="2:27" ht="19" customHeight="1" outlineLevel="1" x14ac:dyDescent="0.2">
      <c r="I44" s="20" t="s">
        <v>77</v>
      </c>
      <c r="J44" s="20">
        <v>5</v>
      </c>
      <c r="K44" s="20" t="s">
        <v>12</v>
      </c>
      <c r="L44" s="20" t="s">
        <v>14</v>
      </c>
      <c r="M44" s="33"/>
      <c r="N44" s="20" t="s">
        <v>77</v>
      </c>
      <c r="O44" s="20">
        <v>6</v>
      </c>
      <c r="P44" s="20" t="s">
        <v>12</v>
      </c>
      <c r="Q44" s="20" t="s">
        <v>14</v>
      </c>
      <c r="R44" s="33"/>
    </row>
    <row r="45" spans="2:27" ht="17" customHeight="1" x14ac:dyDescent="0.2">
      <c r="I45" s="20" t="s">
        <v>11</v>
      </c>
      <c r="J45" s="62" t="s">
        <v>8</v>
      </c>
      <c r="K45" s="20"/>
      <c r="L45" s="20"/>
      <c r="M45" s="33"/>
      <c r="N45" s="20" t="s">
        <v>11</v>
      </c>
      <c r="O45" s="62" t="s">
        <v>6</v>
      </c>
      <c r="P45" s="20"/>
      <c r="Q45" s="20"/>
      <c r="R45" s="33"/>
    </row>
    <row r="46" spans="2:27" ht="18" customHeight="1" outlineLevel="1" x14ac:dyDescent="0.2">
      <c r="I46" s="20" t="s">
        <v>9</v>
      </c>
      <c r="J46" s="20" t="s">
        <v>66</v>
      </c>
      <c r="K46" s="20" t="s">
        <v>60</v>
      </c>
      <c r="L46" s="20" t="s">
        <v>62</v>
      </c>
      <c r="M46" s="33"/>
      <c r="N46" s="20" t="s">
        <v>9</v>
      </c>
      <c r="O46" s="20" t="s">
        <v>66</v>
      </c>
      <c r="P46" s="20" t="s">
        <v>60</v>
      </c>
      <c r="Q46" s="20" t="s">
        <v>62</v>
      </c>
      <c r="R46" s="33"/>
    </row>
    <row r="47" spans="2:27" ht="16" customHeight="1" outlineLevel="1" x14ac:dyDescent="0.2">
      <c r="I47" s="20">
        <v>1</v>
      </c>
      <c r="J47" s="20">
        <f>SUM(K47,L47)</f>
        <v>5</v>
      </c>
      <c r="K47" s="20">
        <v>0</v>
      </c>
      <c r="L47" s="20">
        <v>5</v>
      </c>
      <c r="M47" s="33"/>
      <c r="N47" s="20">
        <v>1</v>
      </c>
      <c r="O47" s="20">
        <f>SUM(P47,Q47)</f>
        <v>5</v>
      </c>
      <c r="P47" s="20">
        <v>0</v>
      </c>
      <c r="Q47" s="20">
        <v>5</v>
      </c>
      <c r="R47" s="33"/>
    </row>
    <row r="48" spans="2:27" ht="19" customHeight="1" outlineLevel="1" x14ac:dyDescent="0.2">
      <c r="I48" s="20">
        <v>2</v>
      </c>
      <c r="J48" s="20">
        <f t="shared" ref="J48:J54" si="10">SUM(K48,L48)</f>
        <v>6</v>
      </c>
      <c r="K48" s="20">
        <v>0</v>
      </c>
      <c r="L48" s="20">
        <v>6</v>
      </c>
      <c r="M48" s="33"/>
      <c r="N48" s="20">
        <v>2</v>
      </c>
      <c r="O48" s="20">
        <f t="shared" ref="O48:O54" si="11">SUM(P48,Q48)</f>
        <v>6</v>
      </c>
      <c r="P48" s="20">
        <v>0</v>
      </c>
      <c r="Q48" s="20">
        <v>6</v>
      </c>
      <c r="R48" s="33"/>
    </row>
    <row r="49" spans="1:18" outlineLevel="1" x14ac:dyDescent="0.2">
      <c r="I49" s="20">
        <v>3</v>
      </c>
      <c r="J49" s="20">
        <f t="shared" si="10"/>
        <v>6</v>
      </c>
      <c r="K49" s="20">
        <v>0</v>
      </c>
      <c r="L49" s="20">
        <v>6</v>
      </c>
      <c r="M49" s="33"/>
      <c r="N49" s="20">
        <v>3</v>
      </c>
      <c r="O49" s="20">
        <f t="shared" si="11"/>
        <v>6</v>
      </c>
      <c r="P49" s="20">
        <v>0</v>
      </c>
      <c r="Q49" s="20">
        <v>6</v>
      </c>
      <c r="R49" s="33"/>
    </row>
    <row r="50" spans="1:18" outlineLevel="1" x14ac:dyDescent="0.2">
      <c r="I50" s="20">
        <v>4</v>
      </c>
      <c r="J50" s="20">
        <f t="shared" si="10"/>
        <v>6</v>
      </c>
      <c r="K50" s="20">
        <v>0</v>
      </c>
      <c r="L50" s="20">
        <v>6</v>
      </c>
      <c r="M50" s="33"/>
      <c r="N50" s="20">
        <v>4</v>
      </c>
      <c r="O50" s="20">
        <f t="shared" si="11"/>
        <v>6</v>
      </c>
      <c r="P50" s="20">
        <v>0</v>
      </c>
      <c r="Q50" s="20">
        <v>6</v>
      </c>
      <c r="R50" s="33"/>
    </row>
    <row r="51" spans="1:18" outlineLevel="1" x14ac:dyDescent="0.2">
      <c r="I51" s="20">
        <v>5</v>
      </c>
      <c r="J51" s="20">
        <f t="shared" si="10"/>
        <v>0</v>
      </c>
      <c r="K51" s="20">
        <v>0</v>
      </c>
      <c r="L51" s="20">
        <v>0</v>
      </c>
      <c r="M51" s="33"/>
      <c r="N51" s="20">
        <v>5</v>
      </c>
      <c r="O51" s="20">
        <f t="shared" si="11"/>
        <v>0</v>
      </c>
      <c r="P51" s="20">
        <v>0</v>
      </c>
      <c r="Q51" s="20">
        <v>0</v>
      </c>
      <c r="R51" s="33"/>
    </row>
    <row r="52" spans="1:18" outlineLevel="1" x14ac:dyDescent="0.2">
      <c r="I52" s="20">
        <v>6</v>
      </c>
      <c r="J52" s="20">
        <f t="shared" si="10"/>
        <v>0</v>
      </c>
      <c r="K52" s="20">
        <v>0</v>
      </c>
      <c r="L52" s="20">
        <v>0</v>
      </c>
      <c r="M52" s="33"/>
      <c r="N52" s="20">
        <v>6</v>
      </c>
      <c r="O52" s="20">
        <f t="shared" si="11"/>
        <v>0</v>
      </c>
      <c r="P52" s="20">
        <v>0</v>
      </c>
      <c r="Q52" s="20">
        <v>0</v>
      </c>
      <c r="R52" s="33"/>
    </row>
    <row r="53" spans="1:18" ht="16" customHeight="1" outlineLevel="1" x14ac:dyDescent="0.2">
      <c r="I53" s="20">
        <v>7</v>
      </c>
      <c r="J53" s="20">
        <f t="shared" si="10"/>
        <v>0</v>
      </c>
      <c r="K53" s="20">
        <v>0</v>
      </c>
      <c r="L53" s="20">
        <v>0</v>
      </c>
      <c r="M53" s="33"/>
      <c r="N53" s="20">
        <v>7</v>
      </c>
      <c r="O53" s="20">
        <f t="shared" si="11"/>
        <v>0</v>
      </c>
      <c r="P53" s="20">
        <v>0</v>
      </c>
      <c r="Q53" s="20">
        <v>0</v>
      </c>
      <c r="R53" s="33"/>
    </row>
    <row r="54" spans="1:18" ht="16" outlineLevel="1" x14ac:dyDescent="0.2">
      <c r="I54" s="20" t="s">
        <v>10</v>
      </c>
      <c r="J54" s="20">
        <f t="shared" si="10"/>
        <v>13</v>
      </c>
      <c r="K54" s="20">
        <v>0</v>
      </c>
      <c r="L54" s="20">
        <v>13</v>
      </c>
      <c r="M54" s="33"/>
      <c r="N54" s="20" t="s">
        <v>10</v>
      </c>
      <c r="O54" s="20">
        <f t="shared" si="11"/>
        <v>13</v>
      </c>
      <c r="P54" s="20">
        <v>0</v>
      </c>
      <c r="Q54" s="20">
        <v>13</v>
      </c>
      <c r="R54" s="33"/>
    </row>
    <row r="55" spans="1:18" ht="16" outlineLevel="1" x14ac:dyDescent="0.2">
      <c r="I55" s="20" t="s">
        <v>13</v>
      </c>
      <c r="J55" s="20">
        <f>(SUM(J47:J54))</f>
        <v>36</v>
      </c>
      <c r="K55" s="20">
        <f>(SUM(K47:K54))</f>
        <v>0</v>
      </c>
      <c r="L55" s="20">
        <f>(SUM(L47:L54))</f>
        <v>36</v>
      </c>
      <c r="M55" s="33"/>
      <c r="N55" s="20" t="s">
        <v>13</v>
      </c>
      <c r="O55" s="20">
        <f>(SUM(O47:O54))</f>
        <v>36</v>
      </c>
      <c r="P55" s="20">
        <f>(SUM(P47:P54))</f>
        <v>0</v>
      </c>
      <c r="Q55" s="20">
        <f>(SUM(Q47:Q54))</f>
        <v>36</v>
      </c>
      <c r="R55" s="33"/>
    </row>
    <row r="56" spans="1:18" outlineLevel="1" x14ac:dyDescent="0.2">
      <c r="I56" s="65"/>
      <c r="J56" s="39"/>
      <c r="K56" s="39"/>
      <c r="L56" s="39"/>
      <c r="N56" s="39"/>
      <c r="O56" s="39"/>
      <c r="P56" s="39"/>
      <c r="Q56" s="39"/>
    </row>
    <row r="57" spans="1:18" outlineLevel="1" x14ac:dyDescent="0.2"/>
    <row r="58" spans="1:18" ht="16" customHeight="1" outlineLevel="1" x14ac:dyDescent="0.2">
      <c r="A58" s="1" t="s">
        <v>2</v>
      </c>
      <c r="B58" s="2">
        <v>52</v>
      </c>
      <c r="I58" s="61" t="s">
        <v>77</v>
      </c>
      <c r="J58" s="20">
        <v>1</v>
      </c>
      <c r="K58" s="20" t="s">
        <v>12</v>
      </c>
      <c r="L58" s="20" t="s">
        <v>15</v>
      </c>
      <c r="M58" s="33"/>
      <c r="N58" s="20" t="s">
        <v>77</v>
      </c>
      <c r="O58" s="20">
        <v>2</v>
      </c>
      <c r="P58" s="20" t="s">
        <v>12</v>
      </c>
      <c r="Q58" s="20" t="s">
        <v>15</v>
      </c>
      <c r="R58" s="33"/>
    </row>
    <row r="59" spans="1:18" ht="18" customHeight="1" outlineLevel="1" x14ac:dyDescent="0.2">
      <c r="I59" s="61" t="s">
        <v>11</v>
      </c>
      <c r="J59" s="62" t="s">
        <v>8</v>
      </c>
      <c r="K59" s="20"/>
      <c r="L59" s="20"/>
      <c r="M59" s="33"/>
      <c r="N59" s="20" t="s">
        <v>11</v>
      </c>
      <c r="O59" s="62" t="s">
        <v>6</v>
      </c>
      <c r="P59" s="20"/>
      <c r="Q59" s="20"/>
      <c r="R59" s="33"/>
    </row>
    <row r="60" spans="1:18" ht="16" customHeight="1" outlineLevel="1" x14ac:dyDescent="0.2">
      <c r="D60" s="20" t="s">
        <v>38</v>
      </c>
      <c r="E60" s="20" t="s">
        <v>60</v>
      </c>
      <c r="F60" s="20" t="s">
        <v>61</v>
      </c>
      <c r="G60" s="20" t="s">
        <v>43</v>
      </c>
      <c r="H60" s="33"/>
      <c r="I60" s="61" t="s">
        <v>9</v>
      </c>
      <c r="J60" s="20" t="s">
        <v>66</v>
      </c>
      <c r="K60" s="20" t="s">
        <v>60</v>
      </c>
      <c r="L60" s="20" t="s">
        <v>62</v>
      </c>
      <c r="M60" s="33"/>
      <c r="N60" s="20" t="s">
        <v>9</v>
      </c>
      <c r="O60" s="20" t="s">
        <v>66</v>
      </c>
      <c r="P60" s="20" t="s">
        <v>60</v>
      </c>
      <c r="Q60" s="20" t="s">
        <v>62</v>
      </c>
      <c r="R60" s="33"/>
    </row>
    <row r="61" spans="1:18" ht="16" outlineLevel="1" x14ac:dyDescent="0.2">
      <c r="D61" s="20" t="s">
        <v>16</v>
      </c>
      <c r="E61" s="20">
        <f>SUM(K69,P69,U69,Z69)</f>
        <v>0</v>
      </c>
      <c r="F61" s="20">
        <f>SUM(L69,Q69,)</f>
        <v>30</v>
      </c>
      <c r="G61" s="20">
        <f>SUM(E61:F61)</f>
        <v>30</v>
      </c>
      <c r="H61" s="33"/>
      <c r="I61" s="61">
        <v>1</v>
      </c>
      <c r="J61" s="20">
        <f>SUM(K61,L61)</f>
        <v>6</v>
      </c>
      <c r="K61" s="20">
        <v>0</v>
      </c>
      <c r="L61" s="20">
        <v>6</v>
      </c>
      <c r="M61" s="33"/>
      <c r="N61" s="20">
        <v>1</v>
      </c>
      <c r="O61" s="20">
        <f>SUM(P61,Q61)</f>
        <v>2</v>
      </c>
      <c r="P61" s="20">
        <v>0</v>
      </c>
      <c r="Q61" s="20">
        <v>2</v>
      </c>
      <c r="R61" s="33"/>
    </row>
    <row r="62" spans="1:18" ht="16" outlineLevel="1" x14ac:dyDescent="0.2">
      <c r="D62" s="20" t="s">
        <v>17</v>
      </c>
      <c r="E62" s="20">
        <v>0</v>
      </c>
      <c r="F62" s="20">
        <v>23.4</v>
      </c>
      <c r="G62" s="20">
        <f>SUM(E62:F62)</f>
        <v>23.4</v>
      </c>
      <c r="H62" s="33"/>
      <c r="I62" s="61">
        <v>2</v>
      </c>
      <c r="J62" s="20">
        <f t="shared" ref="J62:J68" si="12">SUM(K62,L62)</f>
        <v>7</v>
      </c>
      <c r="K62" s="20">
        <v>0</v>
      </c>
      <c r="L62" s="20">
        <v>7</v>
      </c>
      <c r="M62" s="33"/>
      <c r="N62" s="20">
        <v>2</v>
      </c>
      <c r="O62" s="20">
        <f t="shared" ref="O62:O68" si="13">SUM(P62,Q62)</f>
        <v>6</v>
      </c>
      <c r="P62" s="20">
        <v>0</v>
      </c>
      <c r="Q62" s="20">
        <v>6</v>
      </c>
      <c r="R62" s="33"/>
    </row>
    <row r="63" spans="1:18" ht="17" customHeight="1" outlineLevel="1" x14ac:dyDescent="0.2">
      <c r="D63" s="20" t="s">
        <v>40</v>
      </c>
      <c r="E63" s="63"/>
      <c r="F63" s="63">
        <f>MIN(F61,F62)/MAX(F61,F62)</f>
        <v>0.77999999999999992</v>
      </c>
      <c r="G63" s="63">
        <f>MIN(G61,G62)/MAX(G61,G62)</f>
        <v>0.77999999999999992</v>
      </c>
      <c r="H63" s="33"/>
      <c r="I63" s="61">
        <v>3</v>
      </c>
      <c r="J63" s="20">
        <f t="shared" si="12"/>
        <v>0</v>
      </c>
      <c r="K63" s="20">
        <v>0</v>
      </c>
      <c r="L63" s="20">
        <v>0</v>
      </c>
      <c r="M63" s="33"/>
      <c r="N63" s="20">
        <v>3</v>
      </c>
      <c r="O63" s="20">
        <f t="shared" si="13"/>
        <v>0</v>
      </c>
      <c r="P63" s="20">
        <v>0</v>
      </c>
      <c r="Q63" s="20">
        <v>0</v>
      </c>
      <c r="R63" s="33"/>
    </row>
    <row r="64" spans="1:18" ht="21" customHeight="1" outlineLevel="1" x14ac:dyDescent="0.2">
      <c r="D64" s="39"/>
      <c r="E64" s="39"/>
      <c r="F64" s="39"/>
      <c r="G64" s="63"/>
      <c r="H64" s="33"/>
      <c r="I64" s="61">
        <v>4</v>
      </c>
      <c r="J64" s="20">
        <f t="shared" si="12"/>
        <v>0</v>
      </c>
      <c r="K64" s="20">
        <v>0</v>
      </c>
      <c r="L64" s="20">
        <v>0</v>
      </c>
      <c r="M64" s="33"/>
      <c r="N64" s="20">
        <v>4</v>
      </c>
      <c r="O64" s="20">
        <f t="shared" si="13"/>
        <v>0</v>
      </c>
      <c r="P64" s="20">
        <v>0</v>
      </c>
      <c r="Q64" s="20">
        <v>0</v>
      </c>
      <c r="R64" s="33"/>
    </row>
    <row r="65" spans="1:27" ht="18" customHeight="1" outlineLevel="1" x14ac:dyDescent="0.2">
      <c r="D65" s="20" t="s">
        <v>0</v>
      </c>
      <c r="E65" s="20" t="s">
        <v>63</v>
      </c>
      <c r="F65" s="20" t="s">
        <v>64</v>
      </c>
      <c r="G65" s="20" t="s">
        <v>37</v>
      </c>
      <c r="H65" s="33"/>
      <c r="I65" s="61">
        <v>5</v>
      </c>
      <c r="J65" s="20">
        <f t="shared" si="12"/>
        <v>0</v>
      </c>
      <c r="K65" s="20">
        <v>0</v>
      </c>
      <c r="L65" s="20">
        <v>0</v>
      </c>
      <c r="M65" s="33"/>
      <c r="N65" s="20">
        <v>5</v>
      </c>
      <c r="O65" s="20">
        <f t="shared" si="13"/>
        <v>0</v>
      </c>
      <c r="P65" s="20">
        <v>0</v>
      </c>
      <c r="Q65" s="20">
        <v>0</v>
      </c>
      <c r="R65" s="33"/>
    </row>
    <row r="66" spans="1:27" ht="16" outlineLevel="1" x14ac:dyDescent="0.2">
      <c r="D66" s="20" t="s">
        <v>16</v>
      </c>
      <c r="E66" s="20">
        <f>SUM(K69)</f>
        <v>0</v>
      </c>
      <c r="F66" s="20">
        <f>SUM(L69)</f>
        <v>19</v>
      </c>
      <c r="G66" s="20">
        <f>SUM(E66:F66)</f>
        <v>19</v>
      </c>
      <c r="H66" s="33"/>
      <c r="I66" s="61">
        <v>6</v>
      </c>
      <c r="J66" s="20">
        <f t="shared" si="12"/>
        <v>0</v>
      </c>
      <c r="K66" s="20">
        <v>0</v>
      </c>
      <c r="L66" s="20">
        <v>0</v>
      </c>
      <c r="M66" s="33"/>
      <c r="N66" s="20">
        <v>6</v>
      </c>
      <c r="O66" s="20">
        <f t="shared" si="13"/>
        <v>0</v>
      </c>
      <c r="P66" s="20">
        <v>0</v>
      </c>
      <c r="Q66" s="20">
        <v>0</v>
      </c>
      <c r="R66" s="33"/>
    </row>
    <row r="67" spans="1:27" ht="16" outlineLevel="1" x14ac:dyDescent="0.2">
      <c r="D67" s="20" t="s">
        <v>17</v>
      </c>
      <c r="E67" s="20">
        <v>0</v>
      </c>
      <c r="F67" s="20">
        <v>10</v>
      </c>
      <c r="G67" s="20">
        <f>SUM(E67:F67)</f>
        <v>10</v>
      </c>
      <c r="H67" s="33"/>
      <c r="I67" s="61">
        <v>7</v>
      </c>
      <c r="J67" s="20">
        <f t="shared" si="12"/>
        <v>0</v>
      </c>
      <c r="K67" s="20">
        <v>0</v>
      </c>
      <c r="L67" s="20">
        <v>0</v>
      </c>
      <c r="M67" s="33"/>
      <c r="N67" s="20">
        <v>7</v>
      </c>
      <c r="O67" s="20">
        <f t="shared" si="13"/>
        <v>0</v>
      </c>
      <c r="P67" s="20">
        <v>0</v>
      </c>
      <c r="Q67" s="20">
        <v>0</v>
      </c>
      <c r="R67" s="33"/>
    </row>
    <row r="68" spans="1:27" ht="17" customHeight="1" outlineLevel="1" x14ac:dyDescent="0.2">
      <c r="B68" s="79" t="s">
        <v>48</v>
      </c>
      <c r="C68" s="33"/>
      <c r="D68" s="20" t="s">
        <v>40</v>
      </c>
      <c r="E68" s="63"/>
      <c r="F68" s="63">
        <f>MIN(F66,F67)/MAX(F66,F67)</f>
        <v>0.52631578947368418</v>
      </c>
      <c r="G68" s="63">
        <f>MIN(G66,G67)/MAX(G66,G67)</f>
        <v>0.52631578947368418</v>
      </c>
      <c r="H68" s="33"/>
      <c r="I68" s="61" t="s">
        <v>10</v>
      </c>
      <c r="J68" s="20">
        <f t="shared" si="12"/>
        <v>6</v>
      </c>
      <c r="K68" s="20">
        <v>0</v>
      </c>
      <c r="L68" s="20">
        <v>6</v>
      </c>
      <c r="M68" s="33"/>
      <c r="N68" s="20" t="s">
        <v>10</v>
      </c>
      <c r="O68" s="20">
        <f t="shared" si="13"/>
        <v>3</v>
      </c>
      <c r="P68" s="20">
        <v>0</v>
      </c>
      <c r="Q68" s="20">
        <v>3</v>
      </c>
      <c r="R68" s="33"/>
    </row>
    <row r="69" spans="1:27" ht="16" x14ac:dyDescent="0.2">
      <c r="B69" s="79"/>
      <c r="C69" s="33"/>
      <c r="D69" s="39"/>
      <c r="E69" s="39"/>
      <c r="F69" s="39"/>
      <c r="G69" s="66"/>
      <c r="I69" s="61" t="s">
        <v>13</v>
      </c>
      <c r="J69" s="20">
        <f>(SUM(J61:J68))</f>
        <v>19</v>
      </c>
      <c r="K69" s="20">
        <f>(SUM(K61:K68))</f>
        <v>0</v>
      </c>
      <c r="L69" s="20">
        <f>(SUM(L61:L68))</f>
        <v>19</v>
      </c>
      <c r="M69" s="33"/>
      <c r="N69" s="20" t="s">
        <v>13</v>
      </c>
      <c r="O69" s="20">
        <f>(SUM(O61:O68))</f>
        <v>11</v>
      </c>
      <c r="P69" s="20">
        <f>(SUM(P61:P68))</f>
        <v>0</v>
      </c>
      <c r="Q69" s="20">
        <f>(SUM(Q61:Q68))</f>
        <v>11</v>
      </c>
      <c r="R69" s="33"/>
    </row>
    <row r="70" spans="1:27" x14ac:dyDescent="0.2">
      <c r="B70" s="41"/>
      <c r="G70" s="4"/>
      <c r="I70" s="65"/>
      <c r="J70" s="39"/>
      <c r="K70" s="39"/>
      <c r="L70" s="39"/>
      <c r="N70" s="39"/>
      <c r="O70" s="39"/>
      <c r="P70" s="39"/>
      <c r="Q70" s="39"/>
    </row>
    <row r="71" spans="1:27" ht="18" customHeight="1" outlineLevel="1" x14ac:dyDescent="0.2"/>
    <row r="72" spans="1:27" ht="19" customHeight="1" outlineLevel="1" x14ac:dyDescent="0.2">
      <c r="A72" s="1" t="s">
        <v>1</v>
      </c>
      <c r="B72" s="2">
        <v>125</v>
      </c>
      <c r="I72" s="61" t="s">
        <v>77</v>
      </c>
      <c r="J72" s="20">
        <v>1</v>
      </c>
      <c r="K72" s="20" t="s">
        <v>12</v>
      </c>
      <c r="L72" s="20" t="s">
        <v>15</v>
      </c>
      <c r="M72" s="33"/>
      <c r="N72" s="20" t="s">
        <v>77</v>
      </c>
      <c r="O72" s="20">
        <v>2</v>
      </c>
      <c r="P72" s="20" t="s">
        <v>12</v>
      </c>
      <c r="Q72" s="20" t="s">
        <v>15</v>
      </c>
      <c r="R72" s="33"/>
      <c r="S72" s="20" t="s">
        <v>77</v>
      </c>
      <c r="T72" s="20">
        <v>3</v>
      </c>
      <c r="U72" s="20" t="s">
        <v>12</v>
      </c>
      <c r="V72" s="20" t="s">
        <v>14</v>
      </c>
      <c r="W72" s="33"/>
      <c r="X72" s="20" t="s">
        <v>77</v>
      </c>
      <c r="Y72" s="20">
        <v>4</v>
      </c>
      <c r="Z72" s="20" t="s">
        <v>12</v>
      </c>
      <c r="AA72" s="42" t="s">
        <v>14</v>
      </c>
    </row>
    <row r="73" spans="1:27" ht="18" customHeight="1" outlineLevel="1" x14ac:dyDescent="0.2">
      <c r="I73" s="61" t="s">
        <v>11</v>
      </c>
      <c r="J73" s="62" t="s">
        <v>8</v>
      </c>
      <c r="K73" s="20"/>
      <c r="L73" s="20"/>
      <c r="M73" s="33"/>
      <c r="N73" s="20" t="s">
        <v>11</v>
      </c>
      <c r="O73" s="62" t="s">
        <v>5</v>
      </c>
      <c r="P73" s="20"/>
      <c r="Q73" s="20"/>
      <c r="R73" s="33"/>
      <c r="S73" s="20" t="s">
        <v>11</v>
      </c>
      <c r="T73" s="62" t="s">
        <v>7</v>
      </c>
      <c r="U73" s="20"/>
      <c r="V73" s="20"/>
      <c r="W73" s="33"/>
      <c r="X73" s="20" t="s">
        <v>11</v>
      </c>
      <c r="Y73" s="62" t="s">
        <v>6</v>
      </c>
      <c r="Z73" s="20"/>
      <c r="AA73" s="42"/>
    </row>
    <row r="74" spans="1:27" ht="19" customHeight="1" outlineLevel="1" x14ac:dyDescent="0.2">
      <c r="D74" s="20" t="s">
        <v>38</v>
      </c>
      <c r="E74" s="20" t="s">
        <v>60</v>
      </c>
      <c r="F74" s="20" t="s">
        <v>61</v>
      </c>
      <c r="G74" s="20" t="s">
        <v>43</v>
      </c>
      <c r="H74" s="33"/>
      <c r="I74" s="61" t="s">
        <v>9</v>
      </c>
      <c r="J74" s="20" t="s">
        <v>66</v>
      </c>
      <c r="K74" s="20" t="s">
        <v>60</v>
      </c>
      <c r="L74" s="20" t="s">
        <v>62</v>
      </c>
      <c r="M74" s="33"/>
      <c r="N74" s="20" t="s">
        <v>9</v>
      </c>
      <c r="O74" s="20" t="s">
        <v>66</v>
      </c>
      <c r="P74" s="20" t="s">
        <v>60</v>
      </c>
      <c r="Q74" s="20" t="s">
        <v>62</v>
      </c>
      <c r="R74" s="33"/>
      <c r="S74" s="20" t="s">
        <v>9</v>
      </c>
      <c r="T74" s="20" t="s">
        <v>66</v>
      </c>
      <c r="U74" s="20" t="s">
        <v>60</v>
      </c>
      <c r="V74" s="20" t="s">
        <v>62</v>
      </c>
      <c r="W74" s="33"/>
      <c r="X74" s="20" t="s">
        <v>9</v>
      </c>
      <c r="Y74" s="20" t="s">
        <v>66</v>
      </c>
      <c r="Z74" s="20" t="s">
        <v>60</v>
      </c>
      <c r="AA74" s="42" t="s">
        <v>62</v>
      </c>
    </row>
    <row r="75" spans="1:27" ht="16" outlineLevel="1" x14ac:dyDescent="0.2">
      <c r="D75" s="20" t="s">
        <v>16</v>
      </c>
      <c r="E75" s="20">
        <f>SUM(K83,P83,U83,Z83)</f>
        <v>131</v>
      </c>
      <c r="F75" s="20">
        <f>SUM(L83,Q83,V83,AA83)</f>
        <v>34</v>
      </c>
      <c r="G75" s="20">
        <f>SUM(E75:F75)</f>
        <v>165</v>
      </c>
      <c r="H75" s="33"/>
      <c r="I75" s="61">
        <v>1</v>
      </c>
      <c r="J75" s="20">
        <f>SUM(K75,L75)</f>
        <v>11</v>
      </c>
      <c r="K75" s="20">
        <v>4</v>
      </c>
      <c r="L75" s="20">
        <v>7</v>
      </c>
      <c r="M75" s="33"/>
      <c r="N75" s="20">
        <v>1</v>
      </c>
      <c r="O75" s="20">
        <f>SUM(P75,Q75)</f>
        <v>7</v>
      </c>
      <c r="P75" s="20">
        <v>4</v>
      </c>
      <c r="Q75" s="20">
        <v>3</v>
      </c>
      <c r="R75" s="33"/>
      <c r="S75" s="20">
        <v>1</v>
      </c>
      <c r="T75" s="20">
        <f>SUM(U75,V75)</f>
        <v>0</v>
      </c>
      <c r="U75" s="20">
        <v>0</v>
      </c>
      <c r="V75" s="20">
        <v>0</v>
      </c>
      <c r="W75" s="33"/>
      <c r="X75" s="20">
        <v>1</v>
      </c>
      <c r="Y75" s="20">
        <f>SUM(Z75,AA75)</f>
        <v>2</v>
      </c>
      <c r="Z75" s="20">
        <v>1</v>
      </c>
      <c r="AA75" s="42">
        <v>1</v>
      </c>
    </row>
    <row r="76" spans="1:27" ht="16" outlineLevel="1" x14ac:dyDescent="0.2">
      <c r="D76" s="20" t="s">
        <v>17</v>
      </c>
      <c r="E76" s="20">
        <v>135</v>
      </c>
      <c r="F76" s="20">
        <v>39</v>
      </c>
      <c r="G76" s="20">
        <f>SUM(E76:F76)</f>
        <v>174</v>
      </c>
      <c r="H76" s="33"/>
      <c r="I76" s="61">
        <v>2</v>
      </c>
      <c r="J76" s="20">
        <f t="shared" ref="J76:J82" si="14">SUM(K76,L76)</f>
        <v>12</v>
      </c>
      <c r="K76" s="20">
        <v>12</v>
      </c>
      <c r="L76" s="20">
        <v>0</v>
      </c>
      <c r="M76" s="33"/>
      <c r="N76" s="20">
        <v>2</v>
      </c>
      <c r="O76" s="20">
        <f t="shared" ref="O76:O82" si="15">SUM(P76,Q76)</f>
        <v>8</v>
      </c>
      <c r="P76" s="20">
        <v>8</v>
      </c>
      <c r="Q76" s="20">
        <v>0</v>
      </c>
      <c r="R76" s="33"/>
      <c r="S76" s="20">
        <v>2</v>
      </c>
      <c r="T76" s="20">
        <f t="shared" ref="T76:T82" si="16">SUM(U76,V76)</f>
        <v>4</v>
      </c>
      <c r="U76" s="20">
        <v>4</v>
      </c>
      <c r="V76" s="20">
        <v>0</v>
      </c>
      <c r="W76" s="33"/>
      <c r="X76" s="20">
        <v>2</v>
      </c>
      <c r="Y76" s="20">
        <f t="shared" ref="Y76:Y82" si="17">SUM(Z76,AA76)</f>
        <v>5</v>
      </c>
      <c r="Z76" s="20">
        <v>3</v>
      </c>
      <c r="AA76" s="42">
        <v>2</v>
      </c>
    </row>
    <row r="77" spans="1:27" ht="18" customHeight="1" outlineLevel="1" x14ac:dyDescent="0.2">
      <c r="D77" s="20" t="s">
        <v>40</v>
      </c>
      <c r="E77" s="63">
        <f>E75/E76</f>
        <v>0.97037037037037033</v>
      </c>
      <c r="F77" s="63">
        <f>F75/F76</f>
        <v>0.87179487179487181</v>
      </c>
      <c r="G77" s="63">
        <f>G75/G76</f>
        <v>0.94827586206896552</v>
      </c>
      <c r="H77" s="33"/>
      <c r="I77" s="61">
        <v>3</v>
      </c>
      <c r="J77" s="20">
        <f t="shared" si="14"/>
        <v>12</v>
      </c>
      <c r="K77" s="20">
        <v>12</v>
      </c>
      <c r="L77" s="20">
        <v>0</v>
      </c>
      <c r="M77" s="33"/>
      <c r="N77" s="20">
        <v>3</v>
      </c>
      <c r="O77" s="20">
        <f t="shared" si="15"/>
        <v>8</v>
      </c>
      <c r="P77" s="20">
        <v>8</v>
      </c>
      <c r="Q77" s="20">
        <v>0</v>
      </c>
      <c r="R77" s="33"/>
      <c r="S77" s="20">
        <v>3</v>
      </c>
      <c r="T77" s="20">
        <f t="shared" si="16"/>
        <v>4</v>
      </c>
      <c r="U77" s="20">
        <v>4</v>
      </c>
      <c r="V77" s="20">
        <v>0</v>
      </c>
      <c r="W77" s="33"/>
      <c r="X77" s="20">
        <v>3</v>
      </c>
      <c r="Y77" s="20">
        <f t="shared" si="17"/>
        <v>5</v>
      </c>
      <c r="Z77" s="20">
        <v>3</v>
      </c>
      <c r="AA77" s="42">
        <v>2</v>
      </c>
    </row>
    <row r="78" spans="1:27" ht="18" customHeight="1" outlineLevel="1" x14ac:dyDescent="0.2">
      <c r="D78" s="39"/>
      <c r="E78" s="39"/>
      <c r="F78" s="39"/>
      <c r="G78" s="39"/>
      <c r="I78" s="61">
        <v>4</v>
      </c>
      <c r="J78" s="20">
        <f t="shared" si="14"/>
        <v>12</v>
      </c>
      <c r="K78" s="20">
        <v>8</v>
      </c>
      <c r="L78" s="20">
        <v>4</v>
      </c>
      <c r="M78" s="33"/>
      <c r="N78" s="20">
        <v>4</v>
      </c>
      <c r="O78" s="20">
        <f t="shared" si="15"/>
        <v>8</v>
      </c>
      <c r="P78" s="20">
        <v>6</v>
      </c>
      <c r="Q78" s="20">
        <v>2</v>
      </c>
      <c r="R78" s="33"/>
      <c r="S78" s="20">
        <v>4</v>
      </c>
      <c r="T78" s="20">
        <f t="shared" si="16"/>
        <v>4</v>
      </c>
      <c r="U78" s="20">
        <v>4</v>
      </c>
      <c r="V78" s="20">
        <v>0</v>
      </c>
      <c r="W78" s="33"/>
      <c r="X78" s="20">
        <v>4</v>
      </c>
      <c r="Y78" s="20">
        <f t="shared" si="17"/>
        <v>5</v>
      </c>
      <c r="Z78" s="20">
        <v>3</v>
      </c>
      <c r="AA78" s="42">
        <v>2</v>
      </c>
    </row>
    <row r="79" spans="1:27" ht="18" customHeight="1" outlineLevel="1" x14ac:dyDescent="0.2">
      <c r="D79" s="20" t="s">
        <v>39</v>
      </c>
      <c r="E79" s="20" t="s">
        <v>63</v>
      </c>
      <c r="F79" s="20" t="s">
        <v>64</v>
      </c>
      <c r="G79" s="20" t="s">
        <v>37</v>
      </c>
      <c r="H79" s="33"/>
      <c r="I79" s="61">
        <v>5</v>
      </c>
      <c r="J79" s="20">
        <f t="shared" si="14"/>
        <v>12</v>
      </c>
      <c r="K79" s="20">
        <v>12</v>
      </c>
      <c r="L79" s="20">
        <v>0</v>
      </c>
      <c r="M79" s="33"/>
      <c r="N79" s="20">
        <v>5</v>
      </c>
      <c r="O79" s="20">
        <f t="shared" si="15"/>
        <v>8</v>
      </c>
      <c r="P79" s="20">
        <v>8</v>
      </c>
      <c r="Q79" s="20">
        <v>0</v>
      </c>
      <c r="R79" s="33"/>
      <c r="S79" s="20">
        <v>5</v>
      </c>
      <c r="T79" s="20">
        <f t="shared" si="16"/>
        <v>4</v>
      </c>
      <c r="U79" s="20">
        <v>4</v>
      </c>
      <c r="V79" s="20">
        <v>0</v>
      </c>
      <c r="W79" s="33"/>
      <c r="X79" s="20">
        <v>5</v>
      </c>
      <c r="Y79" s="20">
        <f t="shared" si="17"/>
        <v>5</v>
      </c>
      <c r="Z79" s="20">
        <v>3</v>
      </c>
      <c r="AA79" s="42">
        <v>2</v>
      </c>
    </row>
    <row r="80" spans="1:27" ht="16" outlineLevel="1" x14ac:dyDescent="0.2">
      <c r="D80" s="20" t="s">
        <v>16</v>
      </c>
      <c r="E80" s="20">
        <f>SUM(K83,P83)</f>
        <v>102</v>
      </c>
      <c r="F80" s="20">
        <f>SUM(L83,Q83)</f>
        <v>22</v>
      </c>
      <c r="G80" s="20">
        <f>SUM(E80:F80)</f>
        <v>124</v>
      </c>
      <c r="H80" s="33"/>
      <c r="I80" s="61">
        <v>6</v>
      </c>
      <c r="J80" s="20">
        <f t="shared" si="14"/>
        <v>12</v>
      </c>
      <c r="K80" s="20">
        <v>12</v>
      </c>
      <c r="L80" s="20">
        <v>0</v>
      </c>
      <c r="M80" s="33"/>
      <c r="N80" s="20">
        <v>6</v>
      </c>
      <c r="O80" s="20">
        <f t="shared" si="15"/>
        <v>8</v>
      </c>
      <c r="P80" s="20">
        <v>8</v>
      </c>
      <c r="Q80" s="20">
        <v>0</v>
      </c>
      <c r="R80" s="33"/>
      <c r="S80" s="20">
        <v>6</v>
      </c>
      <c r="T80" s="20">
        <f t="shared" si="16"/>
        <v>0</v>
      </c>
      <c r="U80" s="20">
        <v>0</v>
      </c>
      <c r="V80" s="20">
        <v>0</v>
      </c>
      <c r="W80" s="33"/>
      <c r="X80" s="20">
        <v>6</v>
      </c>
      <c r="Y80" s="20">
        <f t="shared" si="17"/>
        <v>0</v>
      </c>
      <c r="Z80" s="20">
        <v>0</v>
      </c>
      <c r="AA80" s="42">
        <v>0</v>
      </c>
    </row>
    <row r="81" spans="2:27" ht="16" outlineLevel="1" x14ac:dyDescent="0.2">
      <c r="D81" s="20" t="s">
        <v>17</v>
      </c>
      <c r="E81" s="20">
        <v>87</v>
      </c>
      <c r="F81" s="20">
        <v>25</v>
      </c>
      <c r="G81" s="20">
        <f>SUM(E81:F81)</f>
        <v>112</v>
      </c>
      <c r="H81" s="33"/>
      <c r="I81" s="61">
        <v>7</v>
      </c>
      <c r="J81" s="20">
        <f t="shared" si="14"/>
        <v>0</v>
      </c>
      <c r="K81" s="20">
        <v>0</v>
      </c>
      <c r="L81" s="20">
        <v>0</v>
      </c>
      <c r="M81" s="33"/>
      <c r="N81" s="20">
        <v>7</v>
      </c>
      <c r="O81" s="20">
        <f t="shared" si="15"/>
        <v>0</v>
      </c>
      <c r="P81" s="20">
        <v>0</v>
      </c>
      <c r="Q81" s="20">
        <v>0</v>
      </c>
      <c r="R81" s="33"/>
      <c r="S81" s="20">
        <v>7</v>
      </c>
      <c r="T81" s="20">
        <f t="shared" si="16"/>
        <v>0</v>
      </c>
      <c r="U81" s="20">
        <v>0</v>
      </c>
      <c r="V81" s="20">
        <v>0</v>
      </c>
      <c r="W81" s="33"/>
      <c r="X81" s="20">
        <v>7</v>
      </c>
      <c r="Y81" s="20">
        <f t="shared" si="17"/>
        <v>0</v>
      </c>
      <c r="Z81" s="20">
        <v>0</v>
      </c>
      <c r="AA81" s="42">
        <v>0</v>
      </c>
    </row>
    <row r="82" spans="2:27" ht="19" customHeight="1" outlineLevel="1" x14ac:dyDescent="0.2">
      <c r="D82" s="20" t="s">
        <v>40</v>
      </c>
      <c r="E82" s="63">
        <f>MIN(E80,E81)/MAX(E80,E81)</f>
        <v>0.8529411764705882</v>
      </c>
      <c r="F82" s="63">
        <f>MIN(F80,F81)/MAX(F80,F81)</f>
        <v>0.88</v>
      </c>
      <c r="G82" s="63">
        <f>MIN(G80,G81)/MAX(G80,G81)</f>
        <v>0.90322580645161288</v>
      </c>
      <c r="H82" s="33"/>
      <c r="I82" s="61" t="s">
        <v>10</v>
      </c>
      <c r="J82" s="20">
        <f t="shared" si="14"/>
        <v>4</v>
      </c>
      <c r="K82" s="20">
        <v>0</v>
      </c>
      <c r="L82" s="20">
        <v>4</v>
      </c>
      <c r="M82" s="33"/>
      <c r="N82" s="20" t="s">
        <v>10</v>
      </c>
      <c r="O82" s="20">
        <f t="shared" si="15"/>
        <v>2</v>
      </c>
      <c r="P82" s="20">
        <v>0</v>
      </c>
      <c r="Q82" s="20">
        <v>2</v>
      </c>
      <c r="R82" s="33"/>
      <c r="S82" s="20" t="s">
        <v>10</v>
      </c>
      <c r="T82" s="20">
        <f t="shared" si="16"/>
        <v>1</v>
      </c>
      <c r="U82" s="20">
        <v>0</v>
      </c>
      <c r="V82" s="20">
        <v>1</v>
      </c>
      <c r="W82" s="33"/>
      <c r="X82" s="20" t="s">
        <v>10</v>
      </c>
      <c r="Y82" s="20">
        <f t="shared" si="17"/>
        <v>2</v>
      </c>
      <c r="Z82" s="20">
        <v>0</v>
      </c>
      <c r="AA82" s="42">
        <v>2</v>
      </c>
    </row>
    <row r="83" spans="2:27" ht="16" x14ac:dyDescent="0.2">
      <c r="D83" s="39"/>
      <c r="E83" s="39"/>
      <c r="F83" s="39"/>
      <c r="G83" s="39"/>
      <c r="I83" s="61" t="s">
        <v>13</v>
      </c>
      <c r="J83" s="20">
        <f>(SUM(J75:J82))</f>
        <v>75</v>
      </c>
      <c r="K83" s="20">
        <f>(SUM(K75:K82))</f>
        <v>60</v>
      </c>
      <c r="L83" s="20">
        <f>(SUM(L75:L82))</f>
        <v>15</v>
      </c>
      <c r="M83" s="33"/>
      <c r="N83" s="20" t="s">
        <v>13</v>
      </c>
      <c r="O83" s="20">
        <f>(SUM(O75:O82))</f>
        <v>49</v>
      </c>
      <c r="P83" s="20">
        <f>(SUM(P75:P82))</f>
        <v>42</v>
      </c>
      <c r="Q83" s="20">
        <f>(SUM(Q75:Q82))</f>
        <v>7</v>
      </c>
      <c r="R83" s="33"/>
      <c r="S83" s="20" t="s">
        <v>13</v>
      </c>
      <c r="T83" s="20">
        <f>(SUM(T75:T82))</f>
        <v>17</v>
      </c>
      <c r="U83" s="20">
        <f>(SUM(U75:U82))</f>
        <v>16</v>
      </c>
      <c r="V83" s="20">
        <f>(SUM(V75:V82))</f>
        <v>1</v>
      </c>
      <c r="W83" s="33"/>
      <c r="X83" s="20" t="s">
        <v>13</v>
      </c>
      <c r="Y83" s="20">
        <f>(SUM(Y75:Y82))</f>
        <v>24</v>
      </c>
      <c r="Z83" s="20">
        <f>(SUM(Z75:Z82))</f>
        <v>13</v>
      </c>
      <c r="AA83" s="42">
        <f>(SUM(AA75:AA82))</f>
        <v>11</v>
      </c>
    </row>
    <row r="84" spans="2:27" x14ac:dyDescent="0.2">
      <c r="I84" s="65"/>
      <c r="J84" s="39"/>
      <c r="K84" s="39"/>
      <c r="L84" s="39"/>
      <c r="N84" s="39"/>
      <c r="O84" s="39"/>
      <c r="P84" s="39"/>
      <c r="Q84" s="39"/>
      <c r="S84" s="39"/>
      <c r="T84" s="39"/>
      <c r="U84" s="39"/>
      <c r="V84" s="39"/>
      <c r="X84" s="39"/>
      <c r="Y84" s="39"/>
      <c r="Z84" s="39"/>
      <c r="AA84" s="39"/>
    </row>
    <row r="86" spans="2:27" ht="16" customHeight="1" outlineLevel="1" x14ac:dyDescent="0.2">
      <c r="B86" s="2">
        <v>127</v>
      </c>
      <c r="I86" s="61" t="s">
        <v>77</v>
      </c>
      <c r="J86" s="20">
        <v>1</v>
      </c>
      <c r="K86" s="20" t="s">
        <v>12</v>
      </c>
      <c r="L86" s="20" t="s">
        <v>15</v>
      </c>
      <c r="M86" s="33"/>
      <c r="N86" s="20" t="s">
        <v>77</v>
      </c>
      <c r="O86" s="20">
        <v>2</v>
      </c>
      <c r="P86" s="20" t="s">
        <v>12</v>
      </c>
      <c r="Q86" s="20" t="s">
        <v>14</v>
      </c>
      <c r="R86" s="33"/>
    </row>
    <row r="87" spans="2:27" ht="18" customHeight="1" outlineLevel="1" x14ac:dyDescent="0.2">
      <c r="I87" s="61" t="s">
        <v>11</v>
      </c>
      <c r="J87" s="62" t="s">
        <v>5</v>
      </c>
      <c r="K87" s="20"/>
      <c r="L87" s="20"/>
      <c r="M87" s="33"/>
      <c r="N87" s="20" t="s">
        <v>11</v>
      </c>
      <c r="O87" s="62" t="s">
        <v>7</v>
      </c>
      <c r="P87" s="20"/>
      <c r="Q87" s="20"/>
      <c r="R87" s="33"/>
    </row>
    <row r="88" spans="2:27" ht="16" customHeight="1" outlineLevel="1" x14ac:dyDescent="0.2">
      <c r="D88" s="20" t="s">
        <v>38</v>
      </c>
      <c r="E88" s="20" t="s">
        <v>60</v>
      </c>
      <c r="F88" s="20" t="s">
        <v>61</v>
      </c>
      <c r="G88" s="20" t="s">
        <v>43</v>
      </c>
      <c r="H88" s="33"/>
      <c r="I88" s="61" t="s">
        <v>9</v>
      </c>
      <c r="J88" s="20" t="s">
        <v>66</v>
      </c>
      <c r="K88" s="20" t="s">
        <v>60</v>
      </c>
      <c r="L88" s="20" t="s">
        <v>62</v>
      </c>
      <c r="M88" s="33"/>
      <c r="N88" s="20" t="s">
        <v>9</v>
      </c>
      <c r="O88" s="20" t="s">
        <v>66</v>
      </c>
      <c r="P88" s="20" t="s">
        <v>60</v>
      </c>
      <c r="Q88" s="20" t="s">
        <v>62</v>
      </c>
      <c r="R88" s="33"/>
    </row>
    <row r="89" spans="2:27" ht="16" outlineLevel="1" x14ac:dyDescent="0.2">
      <c r="D89" s="20" t="s">
        <v>16</v>
      </c>
      <c r="E89" s="20">
        <f>SUM(K97,P97,U97,Z97)</f>
        <v>0</v>
      </c>
      <c r="F89" s="20">
        <f>SUM(L97,Q97,V97,AA97)</f>
        <v>48</v>
      </c>
      <c r="G89" s="20">
        <f>SUM(E89:F89)</f>
        <v>48</v>
      </c>
      <c r="H89" s="33"/>
      <c r="I89" s="61">
        <v>1</v>
      </c>
      <c r="J89" s="20">
        <f>SUM(K89,L89)</f>
        <v>5</v>
      </c>
      <c r="K89" s="20">
        <v>0</v>
      </c>
      <c r="L89" s="20">
        <v>5</v>
      </c>
      <c r="M89" s="33"/>
      <c r="N89" s="20">
        <v>1</v>
      </c>
      <c r="O89" s="20">
        <f>SUM(P89,Q89)</f>
        <v>1</v>
      </c>
      <c r="P89" s="20">
        <v>0</v>
      </c>
      <c r="Q89" s="20">
        <v>1</v>
      </c>
      <c r="R89" s="33"/>
    </row>
    <row r="90" spans="2:27" ht="16" outlineLevel="1" x14ac:dyDescent="0.2">
      <c r="D90" s="20" t="s">
        <v>17</v>
      </c>
      <c r="E90" s="20"/>
      <c r="F90" s="20">
        <v>145</v>
      </c>
      <c r="G90" s="20">
        <f>SUM(E90:F90)</f>
        <v>145</v>
      </c>
      <c r="H90" s="33"/>
      <c r="I90" s="61">
        <v>2</v>
      </c>
      <c r="J90" s="20">
        <f t="shared" ref="J90:J96" si="18">SUM(K90,L90)</f>
        <v>6</v>
      </c>
      <c r="K90" s="20">
        <v>0</v>
      </c>
      <c r="L90" s="20">
        <v>6</v>
      </c>
      <c r="M90" s="33"/>
      <c r="N90" s="20">
        <v>2</v>
      </c>
      <c r="O90" s="20">
        <f t="shared" ref="O90:O96" si="19">SUM(P90,Q90)</f>
        <v>3</v>
      </c>
      <c r="P90" s="20">
        <v>0</v>
      </c>
      <c r="Q90" s="20">
        <v>3</v>
      </c>
      <c r="R90" s="33"/>
    </row>
    <row r="91" spans="2:27" ht="18" customHeight="1" outlineLevel="1" x14ac:dyDescent="0.2">
      <c r="B91" s="79" t="s">
        <v>59</v>
      </c>
      <c r="C91" s="33"/>
      <c r="D91" s="20" t="s">
        <v>40</v>
      </c>
      <c r="E91" s="63"/>
      <c r="F91" s="63">
        <f>MIN(F89,F90)/MAX(F89,F90)</f>
        <v>0.33103448275862069</v>
      </c>
      <c r="G91" s="63">
        <f>MIN(G89,G90)/MAX(G89,G90)</f>
        <v>0.33103448275862069</v>
      </c>
      <c r="H91" s="33"/>
      <c r="I91" s="61">
        <v>3</v>
      </c>
      <c r="J91" s="20">
        <f t="shared" si="18"/>
        <v>6</v>
      </c>
      <c r="K91" s="20">
        <v>0</v>
      </c>
      <c r="L91" s="20">
        <v>6</v>
      </c>
      <c r="M91" s="33"/>
      <c r="N91" s="20">
        <v>3</v>
      </c>
      <c r="O91" s="20">
        <f t="shared" si="19"/>
        <v>3</v>
      </c>
      <c r="P91" s="20">
        <v>0</v>
      </c>
      <c r="Q91" s="20">
        <v>3</v>
      </c>
      <c r="R91" s="33"/>
    </row>
    <row r="92" spans="2:27" outlineLevel="1" x14ac:dyDescent="0.2">
      <c r="B92" s="79"/>
      <c r="C92" s="33"/>
      <c r="D92" s="39"/>
      <c r="E92" s="39"/>
      <c r="F92" s="39"/>
      <c r="G92" s="39"/>
      <c r="I92" s="61">
        <v>4</v>
      </c>
      <c r="J92" s="20">
        <f t="shared" si="18"/>
        <v>5</v>
      </c>
      <c r="K92" s="20">
        <v>0</v>
      </c>
      <c r="L92" s="20">
        <v>5</v>
      </c>
      <c r="M92" s="33"/>
      <c r="N92" s="20">
        <v>4</v>
      </c>
      <c r="O92" s="20">
        <f t="shared" si="19"/>
        <v>3</v>
      </c>
      <c r="P92" s="20">
        <v>0</v>
      </c>
      <c r="Q92" s="20">
        <v>3</v>
      </c>
      <c r="R92" s="33"/>
    </row>
    <row r="93" spans="2:27" ht="18" customHeight="1" outlineLevel="1" x14ac:dyDescent="0.2">
      <c r="B93" s="41"/>
      <c r="D93" s="20" t="s">
        <v>39</v>
      </c>
      <c r="E93" s="20" t="s">
        <v>63</v>
      </c>
      <c r="F93" s="20" t="s">
        <v>64</v>
      </c>
      <c r="G93" s="20" t="s">
        <v>37</v>
      </c>
      <c r="H93" s="33"/>
      <c r="I93" s="61">
        <v>5</v>
      </c>
      <c r="J93" s="20">
        <f t="shared" si="18"/>
        <v>5</v>
      </c>
      <c r="K93" s="20">
        <v>0</v>
      </c>
      <c r="L93" s="20">
        <v>5</v>
      </c>
      <c r="M93" s="33"/>
      <c r="N93" s="20">
        <v>5</v>
      </c>
      <c r="O93" s="20">
        <f t="shared" si="19"/>
        <v>3</v>
      </c>
      <c r="P93" s="20">
        <v>0</v>
      </c>
      <c r="Q93" s="20">
        <v>3</v>
      </c>
      <c r="R93" s="33"/>
    </row>
    <row r="94" spans="2:27" ht="16" outlineLevel="1" x14ac:dyDescent="0.2">
      <c r="D94" s="20" t="s">
        <v>16</v>
      </c>
      <c r="E94" s="20">
        <f>SUM(K97)</f>
        <v>0</v>
      </c>
      <c r="F94" s="20">
        <f>SUM(L97)</f>
        <v>32</v>
      </c>
      <c r="G94" s="20">
        <f>SUM(E94:F94)</f>
        <v>32</v>
      </c>
      <c r="H94" s="33"/>
      <c r="I94" s="61">
        <v>6</v>
      </c>
      <c r="J94" s="20">
        <f t="shared" si="18"/>
        <v>0</v>
      </c>
      <c r="K94" s="20">
        <v>0</v>
      </c>
      <c r="L94" s="20">
        <v>0</v>
      </c>
      <c r="M94" s="33"/>
      <c r="N94" s="20">
        <v>6</v>
      </c>
      <c r="O94" s="20">
        <f t="shared" si="19"/>
        <v>0</v>
      </c>
      <c r="P94" s="20">
        <v>0</v>
      </c>
      <c r="Q94" s="20">
        <v>0</v>
      </c>
      <c r="R94" s="33"/>
    </row>
    <row r="95" spans="2:27" ht="16" outlineLevel="1" x14ac:dyDescent="0.2">
      <c r="D95" s="20" t="s">
        <v>17</v>
      </c>
      <c r="E95" s="20">
        <v>0</v>
      </c>
      <c r="F95" s="20">
        <v>34</v>
      </c>
      <c r="G95" s="20">
        <f>SUM(E95:F95)</f>
        <v>34</v>
      </c>
      <c r="H95" s="33"/>
      <c r="I95" s="61">
        <v>7</v>
      </c>
      <c r="J95" s="20">
        <f t="shared" si="18"/>
        <v>0</v>
      </c>
      <c r="K95" s="20">
        <v>0</v>
      </c>
      <c r="L95" s="20">
        <v>0</v>
      </c>
      <c r="M95" s="33"/>
      <c r="N95" s="20">
        <v>7</v>
      </c>
      <c r="O95" s="20">
        <f t="shared" si="19"/>
        <v>0</v>
      </c>
      <c r="P95" s="20">
        <v>0</v>
      </c>
      <c r="Q95" s="20">
        <v>0</v>
      </c>
      <c r="R95" s="33"/>
    </row>
    <row r="96" spans="2:27" ht="16" customHeight="1" outlineLevel="1" x14ac:dyDescent="0.2">
      <c r="D96" s="20" t="s">
        <v>40</v>
      </c>
      <c r="E96" s="63"/>
      <c r="F96" s="63">
        <f>MIN(F94,F95)/MAX(F94,F95)</f>
        <v>0.94117647058823528</v>
      </c>
      <c r="G96" s="63">
        <f>MIN(G94,G95)/MAX(G94,G95)</f>
        <v>0.94117647058823528</v>
      </c>
      <c r="H96" s="33"/>
      <c r="I96" s="61" t="s">
        <v>10</v>
      </c>
      <c r="J96" s="20">
        <f t="shared" si="18"/>
        <v>5</v>
      </c>
      <c r="K96" s="20">
        <v>0</v>
      </c>
      <c r="L96" s="20">
        <v>5</v>
      </c>
      <c r="M96" s="33"/>
      <c r="N96" s="20" t="s">
        <v>10</v>
      </c>
      <c r="O96" s="20">
        <f t="shared" si="19"/>
        <v>3</v>
      </c>
      <c r="P96" s="20">
        <v>0</v>
      </c>
      <c r="Q96" s="20">
        <v>3</v>
      </c>
      <c r="R96" s="33"/>
    </row>
    <row r="97" spans="4:18" ht="16" outlineLevel="1" x14ac:dyDescent="0.2">
      <c r="D97" s="39"/>
      <c r="E97" s="39"/>
      <c r="F97" s="39"/>
      <c r="G97" s="39"/>
      <c r="I97" s="61" t="s">
        <v>13</v>
      </c>
      <c r="J97" s="20">
        <f>(SUM(J89:J96))</f>
        <v>32</v>
      </c>
      <c r="K97" s="20">
        <f>(SUM(K89:K96))</f>
        <v>0</v>
      </c>
      <c r="L97" s="20">
        <f>(SUM(L89:L96))</f>
        <v>32</v>
      </c>
      <c r="M97" s="33"/>
      <c r="N97" s="20" t="s">
        <v>13</v>
      </c>
      <c r="O97" s="20">
        <f>(SUM(O89:O96))</f>
        <v>16</v>
      </c>
      <c r="P97" s="20">
        <f>(SUM(P89:P96))</f>
        <v>0</v>
      </c>
      <c r="Q97" s="20">
        <f>(SUM(Q89:Q96))</f>
        <v>16</v>
      </c>
      <c r="R97" s="33"/>
    </row>
    <row r="98" spans="4:18" ht="16" thickBot="1" x14ac:dyDescent="0.25">
      <c r="I98" s="65"/>
      <c r="J98" s="39"/>
      <c r="K98" s="39"/>
      <c r="L98" s="39"/>
      <c r="N98" s="39"/>
      <c r="O98" s="39"/>
      <c r="P98" s="39"/>
      <c r="Q98" s="39"/>
    </row>
    <row r="99" spans="4:18" x14ac:dyDescent="0.2">
      <c r="D99" s="77" t="s">
        <v>53</v>
      </c>
      <c r="E99" s="78"/>
      <c r="F99" s="78"/>
      <c r="G99" s="78"/>
      <c r="H99" s="56"/>
    </row>
    <row r="100" spans="4:18" ht="16" outlineLevel="1" x14ac:dyDescent="0.2">
      <c r="D100" s="67" t="s">
        <v>38</v>
      </c>
      <c r="E100" s="20" t="s">
        <v>60</v>
      </c>
      <c r="F100" s="20" t="s">
        <v>61</v>
      </c>
      <c r="G100" s="20" t="s">
        <v>43</v>
      </c>
      <c r="H100" s="56"/>
    </row>
    <row r="101" spans="4:18" ht="16" outlineLevel="1" x14ac:dyDescent="0.2">
      <c r="D101" s="67" t="s">
        <v>16</v>
      </c>
      <c r="E101" s="20">
        <f>SUM(E89,E75,E61,E34,E20,E6)</f>
        <v>150</v>
      </c>
      <c r="F101" s="20">
        <f>SUM(F89,F75,F61,F34,F20,F6)</f>
        <v>657</v>
      </c>
      <c r="G101" s="20">
        <f>SUM(E101:F101)</f>
        <v>807</v>
      </c>
      <c r="H101" s="56"/>
    </row>
    <row r="102" spans="4:18" ht="16" outlineLevel="1" x14ac:dyDescent="0.2">
      <c r="D102" s="67" t="s">
        <v>17</v>
      </c>
      <c r="E102" s="20">
        <f>SUM(E90,E76,E62,E35,E21,E7)</f>
        <v>273</v>
      </c>
      <c r="F102" s="20">
        <f>SUM(F90,F76,F62,F35,F21,F7)</f>
        <v>736.4</v>
      </c>
      <c r="G102" s="20">
        <f>SUM(E102:F102)</f>
        <v>1009.4</v>
      </c>
      <c r="H102" s="56"/>
    </row>
    <row r="103" spans="4:18" ht="16" outlineLevel="1" x14ac:dyDescent="0.2">
      <c r="D103" s="67" t="s">
        <v>40</v>
      </c>
      <c r="E103" s="63">
        <f>MIN(E101,E102)/MAX(E101,E102)</f>
        <v>0.5494505494505495</v>
      </c>
      <c r="F103" s="63">
        <f>MIN(F101,F102)/MAX(F101,F102)</f>
        <v>0.89217816404128192</v>
      </c>
      <c r="G103" s="63">
        <f>MIN(G101,G102)/MAX(G101,G102)</f>
        <v>0.79948484248068163</v>
      </c>
      <c r="H103" s="56"/>
    </row>
    <row r="104" spans="4:18" outlineLevel="1" x14ac:dyDescent="0.2">
      <c r="D104" s="67"/>
      <c r="E104" s="20"/>
      <c r="F104" s="20"/>
      <c r="G104" s="20"/>
      <c r="H104" s="56"/>
    </row>
    <row r="105" spans="4:18" ht="19" customHeight="1" outlineLevel="1" x14ac:dyDescent="0.2">
      <c r="D105" s="67" t="s">
        <v>39</v>
      </c>
      <c r="E105" s="20" t="s">
        <v>63</v>
      </c>
      <c r="F105" s="20" t="s">
        <v>64</v>
      </c>
      <c r="G105" s="20" t="s">
        <v>37</v>
      </c>
      <c r="H105" s="56"/>
    </row>
    <row r="106" spans="4:18" ht="16" outlineLevel="1" x14ac:dyDescent="0.2">
      <c r="D106" s="67" t="s">
        <v>16</v>
      </c>
      <c r="E106" s="20">
        <f>SUM(E94,E80,E66,E39,E25,E11)</f>
        <v>116</v>
      </c>
      <c r="F106" s="20">
        <f>SUM(F94,F80,F66,F39,F25,F11)</f>
        <v>452</v>
      </c>
      <c r="G106" s="20">
        <f>SUM(E106:F106)</f>
        <v>568</v>
      </c>
      <c r="H106" s="56"/>
    </row>
    <row r="107" spans="4:18" ht="16" outlineLevel="1" x14ac:dyDescent="0.2">
      <c r="D107" s="67" t="s">
        <v>17</v>
      </c>
      <c r="E107" s="20">
        <f>SUM(E95,E81,E67,E40,E26,E12)</f>
        <v>113</v>
      </c>
      <c r="F107" s="20">
        <f>SUM(F95,F81,F67,F40,F26,F12)</f>
        <v>377</v>
      </c>
      <c r="G107" s="20">
        <f>SUM(E107:F107)</f>
        <v>490</v>
      </c>
      <c r="H107" s="56"/>
    </row>
    <row r="108" spans="4:18" ht="17" outlineLevel="1" thickBot="1" x14ac:dyDescent="0.25">
      <c r="D108" s="67" t="s">
        <v>40</v>
      </c>
      <c r="E108" s="63">
        <f>MIN(E106,E107)/MAX(E106,E107)</f>
        <v>0.97413793103448276</v>
      </c>
      <c r="F108" s="63">
        <f>MIN(F106,F107)/MAX(F106,F107)</f>
        <v>0.83407079646017701</v>
      </c>
      <c r="G108" s="63">
        <f>MIN(G106,G107)/MAX(G106,G107)</f>
        <v>0.86267605633802813</v>
      </c>
      <c r="H108" s="56"/>
    </row>
    <row r="109" spans="4:18" outlineLevel="1" x14ac:dyDescent="0.2">
      <c r="D109" s="57"/>
      <c r="E109" s="57"/>
      <c r="F109" s="57"/>
      <c r="G109" s="57"/>
    </row>
    <row r="110" spans="4:18" outlineLevel="1" x14ac:dyDescent="0.2"/>
    <row r="111" spans="4:18" outlineLevel="1" x14ac:dyDescent="0.2"/>
    <row r="112" spans="4:18" outlineLevel="1" x14ac:dyDescent="0.2"/>
    <row r="115" outlineLevel="1" x14ac:dyDescent="0.2"/>
    <row r="116" outlineLevel="1" x14ac:dyDescent="0.2"/>
    <row r="117" outlineLevel="1" x14ac:dyDescent="0.2"/>
    <row r="118" outlineLevel="1" x14ac:dyDescent="0.2"/>
    <row r="119" outlineLevel="1" x14ac:dyDescent="0.2"/>
    <row r="120" outlineLevel="1" x14ac:dyDescent="0.2"/>
    <row r="121" outlineLevel="1" x14ac:dyDescent="0.2"/>
    <row r="122" outlineLevel="1" x14ac:dyDescent="0.2"/>
    <row r="123" outlineLevel="1" x14ac:dyDescent="0.2"/>
    <row r="124" outlineLevel="1" x14ac:dyDescent="0.2"/>
    <row r="125" outlineLevel="1" x14ac:dyDescent="0.2"/>
    <row r="126" outlineLevel="1" x14ac:dyDescent="0.2"/>
    <row r="129" outlineLevel="1" x14ac:dyDescent="0.2"/>
    <row r="130" outlineLevel="1" x14ac:dyDescent="0.2"/>
    <row r="131" outlineLevel="1" x14ac:dyDescent="0.2"/>
    <row r="132" outlineLevel="1" x14ac:dyDescent="0.2"/>
    <row r="133" outlineLevel="1" x14ac:dyDescent="0.2"/>
    <row r="134" outlineLevel="1" x14ac:dyDescent="0.2"/>
    <row r="135" outlineLevel="1" x14ac:dyDescent="0.2"/>
    <row r="136" outlineLevel="1" x14ac:dyDescent="0.2"/>
    <row r="137" outlineLevel="1" x14ac:dyDescent="0.2"/>
    <row r="138" outlineLevel="1" x14ac:dyDescent="0.2"/>
    <row r="139" outlineLevel="1" x14ac:dyDescent="0.2"/>
    <row r="140" outlineLevel="1" x14ac:dyDescent="0.2"/>
    <row r="143" outlineLevel="1" x14ac:dyDescent="0.2"/>
    <row r="144" outlineLevel="1" x14ac:dyDescent="0.2"/>
    <row r="145" outlineLevel="1" x14ac:dyDescent="0.2"/>
    <row r="146" outlineLevel="1" x14ac:dyDescent="0.2"/>
    <row r="147" outlineLevel="1" x14ac:dyDescent="0.2"/>
    <row r="148" outlineLevel="1" x14ac:dyDescent="0.2"/>
    <row r="149" outlineLevel="1" x14ac:dyDescent="0.2"/>
    <row r="150" outlineLevel="1" x14ac:dyDescent="0.2"/>
    <row r="151" outlineLevel="1" x14ac:dyDescent="0.2"/>
    <row r="152" outlineLevel="1" x14ac:dyDescent="0.2"/>
    <row r="153" outlineLevel="1" x14ac:dyDescent="0.2"/>
    <row r="154" outlineLevel="1" x14ac:dyDescent="0.2"/>
    <row r="157" outlineLevel="1" x14ac:dyDescent="0.2"/>
    <row r="158" outlineLevel="1" x14ac:dyDescent="0.2"/>
    <row r="159" outlineLevel="1" x14ac:dyDescent="0.2"/>
    <row r="160" outlineLevel="1" x14ac:dyDescent="0.2"/>
    <row r="161" outlineLevel="1" x14ac:dyDescent="0.2"/>
    <row r="162" outlineLevel="1" x14ac:dyDescent="0.2"/>
    <row r="163" outlineLevel="1" x14ac:dyDescent="0.2"/>
    <row r="164" outlineLevel="1" x14ac:dyDescent="0.2"/>
    <row r="165" outlineLevel="1" x14ac:dyDescent="0.2"/>
    <row r="166" outlineLevel="1" x14ac:dyDescent="0.2"/>
    <row r="167" outlineLevel="1" x14ac:dyDescent="0.2"/>
    <row r="168" outlineLevel="1" x14ac:dyDescent="0.2"/>
    <row r="171" outlineLevel="1" x14ac:dyDescent="0.2"/>
    <row r="172" outlineLevel="1" x14ac:dyDescent="0.2"/>
    <row r="173" outlineLevel="1" x14ac:dyDescent="0.2"/>
    <row r="174" outlineLevel="1" x14ac:dyDescent="0.2"/>
    <row r="175" outlineLevel="1" x14ac:dyDescent="0.2"/>
    <row r="176" outlineLevel="1" x14ac:dyDescent="0.2"/>
    <row r="177" outlineLevel="1" x14ac:dyDescent="0.2"/>
    <row r="178" outlineLevel="1" x14ac:dyDescent="0.2"/>
    <row r="179" outlineLevel="1" x14ac:dyDescent="0.2"/>
    <row r="180" outlineLevel="1" x14ac:dyDescent="0.2"/>
    <row r="181" outlineLevel="1" x14ac:dyDescent="0.2"/>
    <row r="182" outlineLevel="1" x14ac:dyDescent="0.2"/>
    <row r="186" outlineLevel="1" x14ac:dyDescent="0.2"/>
    <row r="187" outlineLevel="1" x14ac:dyDescent="0.2"/>
    <row r="188" outlineLevel="1" x14ac:dyDescent="0.2"/>
    <row r="189" outlineLevel="1" x14ac:dyDescent="0.2"/>
    <row r="190" outlineLevel="1" x14ac:dyDescent="0.2"/>
    <row r="191" outlineLevel="1" x14ac:dyDescent="0.2"/>
    <row r="192" outlineLevel="1" x14ac:dyDescent="0.2"/>
    <row r="193" outlineLevel="1" x14ac:dyDescent="0.2"/>
    <row r="194" outlineLevel="1" x14ac:dyDescent="0.2"/>
    <row r="195" outlineLevel="1" x14ac:dyDescent="0.2"/>
    <row r="196" outlineLevel="1" x14ac:dyDescent="0.2"/>
    <row r="197" outlineLevel="1" x14ac:dyDescent="0.2"/>
    <row r="200" outlineLevel="1" x14ac:dyDescent="0.2"/>
    <row r="201" outlineLevel="1" x14ac:dyDescent="0.2"/>
    <row r="202" outlineLevel="1" x14ac:dyDescent="0.2"/>
    <row r="203" outlineLevel="1" x14ac:dyDescent="0.2"/>
    <row r="204" outlineLevel="1" x14ac:dyDescent="0.2"/>
    <row r="205" outlineLevel="1" x14ac:dyDescent="0.2"/>
    <row r="206" outlineLevel="1" x14ac:dyDescent="0.2"/>
    <row r="207" outlineLevel="1" x14ac:dyDescent="0.2"/>
    <row r="208" outlineLevel="1" x14ac:dyDescent="0.2"/>
    <row r="209" outlineLevel="1" x14ac:dyDescent="0.2"/>
    <row r="210" outlineLevel="1" x14ac:dyDescent="0.2"/>
    <row r="211" outlineLevel="2" x14ac:dyDescent="0.2"/>
    <row r="212" outlineLevel="1" x14ac:dyDescent="0.2"/>
    <row r="213" outlineLevel="1" x14ac:dyDescent="0.2"/>
    <row r="214" outlineLevel="1" x14ac:dyDescent="0.2"/>
    <row r="215" outlineLevel="1" x14ac:dyDescent="0.2"/>
    <row r="216" outlineLevel="1" x14ac:dyDescent="0.2"/>
    <row r="217" outlineLevel="1" x14ac:dyDescent="0.2"/>
    <row r="218" outlineLevel="1" x14ac:dyDescent="0.2"/>
    <row r="219" outlineLevel="1" x14ac:dyDescent="0.2"/>
    <row r="220" outlineLevel="1" x14ac:dyDescent="0.2"/>
    <row r="221" outlineLevel="1" x14ac:dyDescent="0.2"/>
    <row r="222" ht="16" customHeight="1" outlineLevel="1" x14ac:dyDescent="0.2"/>
    <row r="225" spans="2:5" outlineLevel="1" x14ac:dyDescent="0.2"/>
    <row r="226" spans="2:5" outlineLevel="1" x14ac:dyDescent="0.2"/>
    <row r="227" spans="2:5" outlineLevel="1" x14ac:dyDescent="0.2"/>
    <row r="228" spans="2:5" ht="16" outlineLevel="1" x14ac:dyDescent="0.2">
      <c r="B228" s="5" t="s">
        <v>5</v>
      </c>
    </row>
    <row r="229" spans="2:5" ht="16" outlineLevel="1" x14ac:dyDescent="0.2">
      <c r="B229" s="5" t="s">
        <v>6</v>
      </c>
      <c r="D229" s="1" t="s">
        <v>14</v>
      </c>
      <c r="E229" s="1">
        <v>1</v>
      </c>
    </row>
    <row r="230" spans="2:5" ht="16" outlineLevel="1" x14ac:dyDescent="0.2">
      <c r="B230" s="5" t="s">
        <v>7</v>
      </c>
      <c r="D230" s="1" t="s">
        <v>15</v>
      </c>
      <c r="E230" s="1">
        <v>2</v>
      </c>
    </row>
    <row r="231" spans="2:5" ht="16" outlineLevel="1" x14ac:dyDescent="0.2">
      <c r="B231" s="5" t="s">
        <v>8</v>
      </c>
      <c r="E231" s="1">
        <v>3</v>
      </c>
    </row>
    <row r="232" spans="2:5" outlineLevel="1" x14ac:dyDescent="0.2">
      <c r="E232" s="1">
        <v>4</v>
      </c>
    </row>
    <row r="233" spans="2:5" outlineLevel="1" x14ac:dyDescent="0.2">
      <c r="E233" s="1">
        <v>5</v>
      </c>
    </row>
    <row r="234" spans="2:5" outlineLevel="1" x14ac:dyDescent="0.2">
      <c r="E234" s="1">
        <v>6</v>
      </c>
    </row>
    <row r="235" spans="2:5" outlineLevel="1" x14ac:dyDescent="0.2">
      <c r="E235" s="1">
        <v>7</v>
      </c>
    </row>
    <row r="236" spans="2:5" outlineLevel="1" x14ac:dyDescent="0.2">
      <c r="E236" s="1">
        <v>8</v>
      </c>
    </row>
    <row r="237" spans="2:5" x14ac:dyDescent="0.2">
      <c r="E237" s="1">
        <v>9</v>
      </c>
    </row>
    <row r="238" spans="2:5" x14ac:dyDescent="0.2">
      <c r="E238" s="1">
        <v>10</v>
      </c>
    </row>
    <row r="239" spans="2:5" x14ac:dyDescent="0.2">
      <c r="E239" s="1">
        <v>11</v>
      </c>
    </row>
    <row r="240" spans="2:5" outlineLevel="1" x14ac:dyDescent="0.2">
      <c r="E240" s="1">
        <v>12</v>
      </c>
    </row>
    <row r="241" outlineLevel="1" x14ac:dyDescent="0.2"/>
    <row r="242" outlineLevel="1" x14ac:dyDescent="0.2"/>
    <row r="243" outlineLevel="1" x14ac:dyDescent="0.2"/>
    <row r="244" outlineLevel="1" x14ac:dyDescent="0.2"/>
    <row r="245" outlineLevel="1" x14ac:dyDescent="0.2"/>
    <row r="246" outlineLevel="1" x14ac:dyDescent="0.2"/>
    <row r="247" outlineLevel="1" x14ac:dyDescent="0.2"/>
    <row r="248" outlineLevel="1" x14ac:dyDescent="0.2"/>
    <row r="249" outlineLevel="1" x14ac:dyDescent="0.2"/>
    <row r="250" outlineLevel="1" x14ac:dyDescent="0.2"/>
    <row r="251" outlineLevel="1" x14ac:dyDescent="0.2"/>
    <row r="255" outlineLevel="1" x14ac:dyDescent="0.2"/>
    <row r="256" outlineLevel="1" x14ac:dyDescent="0.2"/>
    <row r="257" outlineLevel="1" x14ac:dyDescent="0.2"/>
    <row r="258" outlineLevel="1" x14ac:dyDescent="0.2"/>
    <row r="259" outlineLevel="1" x14ac:dyDescent="0.2"/>
    <row r="260" outlineLevel="1" x14ac:dyDescent="0.2"/>
    <row r="261" outlineLevel="1" x14ac:dyDescent="0.2"/>
    <row r="262" outlineLevel="1" x14ac:dyDescent="0.2"/>
    <row r="263" outlineLevel="1" x14ac:dyDescent="0.2"/>
    <row r="264" outlineLevel="1" x14ac:dyDescent="0.2"/>
    <row r="265" outlineLevel="1" x14ac:dyDescent="0.2"/>
    <row r="266" outlineLevel="1" x14ac:dyDescent="0.2"/>
    <row r="270" outlineLevel="1" x14ac:dyDescent="0.2"/>
    <row r="271" outlineLevel="1" x14ac:dyDescent="0.2"/>
    <row r="272" outlineLevel="1" x14ac:dyDescent="0.2"/>
    <row r="273" outlineLevel="1" x14ac:dyDescent="0.2"/>
    <row r="274" outlineLevel="1" x14ac:dyDescent="0.2"/>
    <row r="275" outlineLevel="1" x14ac:dyDescent="0.2"/>
    <row r="276" outlineLevel="1" x14ac:dyDescent="0.2"/>
    <row r="277" outlineLevel="1" x14ac:dyDescent="0.2"/>
    <row r="278" outlineLevel="1" x14ac:dyDescent="0.2"/>
    <row r="279" outlineLevel="1" x14ac:dyDescent="0.2"/>
    <row r="280" outlineLevel="1" x14ac:dyDescent="0.2"/>
    <row r="281" outlineLevel="1" x14ac:dyDescent="0.2"/>
    <row r="285" outlineLevel="1" x14ac:dyDescent="0.2"/>
    <row r="286" outlineLevel="1" x14ac:dyDescent="0.2"/>
    <row r="287" outlineLevel="1" x14ac:dyDescent="0.2"/>
    <row r="288" outlineLevel="1" x14ac:dyDescent="0.2"/>
    <row r="289" outlineLevel="1" x14ac:dyDescent="0.2"/>
    <row r="290" outlineLevel="1" x14ac:dyDescent="0.2"/>
    <row r="291" outlineLevel="1" x14ac:dyDescent="0.2"/>
    <row r="292" outlineLevel="1" x14ac:dyDescent="0.2"/>
    <row r="293" outlineLevel="1" x14ac:dyDescent="0.2"/>
    <row r="294" outlineLevel="1" x14ac:dyDescent="0.2"/>
    <row r="295" outlineLevel="1" x14ac:dyDescent="0.2"/>
    <row r="296" outlineLevel="1" x14ac:dyDescent="0.2"/>
    <row r="299" outlineLevel="1" x14ac:dyDescent="0.2"/>
    <row r="300" outlineLevel="1" x14ac:dyDescent="0.2"/>
    <row r="301" outlineLevel="1" x14ac:dyDescent="0.2"/>
    <row r="302" outlineLevel="1" x14ac:dyDescent="0.2"/>
    <row r="303" outlineLevel="1" x14ac:dyDescent="0.2"/>
    <row r="304" outlineLevel="1" x14ac:dyDescent="0.2"/>
    <row r="305" outlineLevel="1" x14ac:dyDescent="0.2"/>
    <row r="306" outlineLevel="1" x14ac:dyDescent="0.2"/>
    <row r="307" outlineLevel="1" x14ac:dyDescent="0.2"/>
    <row r="308" outlineLevel="1" x14ac:dyDescent="0.2"/>
    <row r="309" outlineLevel="1" x14ac:dyDescent="0.2"/>
    <row r="310" outlineLevel="1" x14ac:dyDescent="0.2"/>
    <row r="313" outlineLevel="1" x14ac:dyDescent="0.2"/>
    <row r="314" outlineLevel="1" x14ac:dyDescent="0.2"/>
    <row r="315" outlineLevel="1" x14ac:dyDescent="0.2"/>
    <row r="316" outlineLevel="1" x14ac:dyDescent="0.2"/>
    <row r="317" outlineLevel="1" x14ac:dyDescent="0.2"/>
    <row r="318" outlineLevel="1" x14ac:dyDescent="0.2"/>
    <row r="319" outlineLevel="1" x14ac:dyDescent="0.2"/>
    <row r="320" outlineLevel="1" x14ac:dyDescent="0.2"/>
    <row r="321" outlineLevel="1" x14ac:dyDescent="0.2"/>
    <row r="322" outlineLevel="1" x14ac:dyDescent="0.2"/>
    <row r="323" outlineLevel="1" x14ac:dyDescent="0.2"/>
    <row r="324" outlineLevel="1" x14ac:dyDescent="0.2"/>
  </sheetData>
  <mergeCells count="7">
    <mergeCell ref="Z1:AA1"/>
    <mergeCell ref="D99:G99"/>
    <mergeCell ref="B7:B8"/>
    <mergeCell ref="B21:B22"/>
    <mergeCell ref="B68:B69"/>
    <mergeCell ref="B91:B92"/>
    <mergeCell ref="B40:B41"/>
  </mergeCells>
  <conditionalFormatting sqref="C11">
    <cfRule type="colorScale" priority="6">
      <colorScale>
        <cfvo type="num" val="0"/>
        <cfvo type="num" val="0.75"/>
        <cfvo type="num" val="1"/>
        <color rgb="FFFF7128"/>
        <color rgb="FFFFEB84"/>
        <color theme="9" tint="-0.249977111117893"/>
      </colorScale>
    </cfRule>
  </conditionalFormatting>
  <conditionalFormatting sqref="E22">
    <cfRule type="colorScale" priority="7">
      <colorScale>
        <cfvo type="num" val="0"/>
        <cfvo type="num" val="0.66"/>
        <cfvo type="num" val="1"/>
        <color rgb="FFFF7128"/>
        <color rgb="FFFFEB84"/>
        <color theme="9" tint="-0.249977111117893"/>
      </colorScale>
    </cfRule>
  </conditionalFormatting>
  <conditionalFormatting sqref="E36">
    <cfRule type="colorScale" priority="23">
      <colorScale>
        <cfvo type="num" val="0"/>
        <cfvo type="num" val="0.75"/>
        <cfvo type="num" val="1"/>
        <color rgb="FFFF7128"/>
        <color rgb="FFFFEB84"/>
        <color theme="9" tint="-0.249977111117893"/>
      </colorScale>
    </cfRule>
  </conditionalFormatting>
  <conditionalFormatting sqref="E41">
    <cfRule type="colorScale" priority="22">
      <colorScale>
        <cfvo type="num" val="0"/>
        <cfvo type="num" val="0.75"/>
        <cfvo type="num" val="1"/>
        <color rgb="FFFF7128"/>
        <color rgb="FFFFEB84"/>
        <color theme="9" tint="-0.249977111117893"/>
      </colorScale>
    </cfRule>
  </conditionalFormatting>
  <conditionalFormatting sqref="E82">
    <cfRule type="colorScale" priority="16">
      <colorScale>
        <cfvo type="num" val="0"/>
        <cfvo type="num" val="0.75"/>
        <cfvo type="num" val="1"/>
        <color rgb="FFFF7128"/>
        <color rgb="FFFFEB84"/>
        <color theme="9" tint="-0.249977111117893"/>
      </colorScale>
    </cfRule>
  </conditionalFormatting>
  <conditionalFormatting sqref="E27:F27">
    <cfRule type="colorScale" priority="25">
      <colorScale>
        <cfvo type="num" val="0"/>
        <cfvo type="num" val="0.75"/>
        <cfvo type="num" val="1"/>
        <color rgb="FFFF7128"/>
        <color rgb="FFFFEB84"/>
        <color theme="9" tint="-0.249977111117893"/>
      </colorScale>
    </cfRule>
  </conditionalFormatting>
  <conditionalFormatting sqref="E77:G77">
    <cfRule type="colorScale" priority="17">
      <colorScale>
        <cfvo type="num" val="0"/>
        <cfvo type="num" val="0.75"/>
        <cfvo type="num" val="1"/>
        <color rgb="FFFF7128"/>
        <color rgb="FFFFEB84"/>
        <color theme="9" tint="-0.249977111117893"/>
      </colorScale>
    </cfRule>
  </conditionalFormatting>
  <conditionalFormatting sqref="E103:G103">
    <cfRule type="colorScale" priority="2">
      <colorScale>
        <cfvo type="num" val="0"/>
        <cfvo type="num" val="0.75"/>
        <cfvo type="num" val="1"/>
        <color rgb="FFFF7128"/>
        <color rgb="FFFFEB84"/>
        <color theme="9" tint="-0.249977111117893"/>
      </colorScale>
    </cfRule>
  </conditionalFormatting>
  <conditionalFormatting sqref="E108:G108">
    <cfRule type="colorScale" priority="1">
      <colorScale>
        <cfvo type="num" val="0"/>
        <cfvo type="num" val="0.75"/>
        <cfvo type="num" val="1"/>
        <color rgb="FFFF7128"/>
        <color rgb="FFFFEB84"/>
        <color theme="9" tint="-0.249977111117893"/>
      </colorScale>
    </cfRule>
  </conditionalFormatting>
  <conditionalFormatting sqref="F22">
    <cfRule type="colorScale" priority="13">
      <colorScale>
        <cfvo type="num" val="0"/>
        <cfvo type="num" val="0.66"/>
        <cfvo type="num" val="1"/>
        <color rgb="FFFF7128"/>
        <color rgb="FFFFEB84"/>
        <color theme="9" tint="-0.249977111117893"/>
      </colorScale>
    </cfRule>
  </conditionalFormatting>
  <conditionalFormatting sqref="F23">
    <cfRule type="colorScale" priority="14">
      <colorScale>
        <cfvo type="num" val="0"/>
        <cfvo type="num" val="0.66"/>
        <cfvo type="num" val="1"/>
        <color rgb="FFFF7128"/>
        <color rgb="FFFFEB84"/>
        <color theme="9" tint="-0.249977111117893"/>
      </colorScale>
    </cfRule>
  </conditionalFormatting>
  <conditionalFormatting sqref="F63">
    <cfRule type="colorScale" priority="4">
      <colorScale>
        <cfvo type="num" val="0"/>
        <cfvo type="num" val="0.66"/>
        <cfvo type="num" val="1"/>
        <color rgb="FFFF7128"/>
        <color rgb="FFFFEB84"/>
        <color theme="9" tint="-0.249977111117893"/>
      </colorScale>
    </cfRule>
  </conditionalFormatting>
  <conditionalFormatting sqref="F8:G8">
    <cfRule type="colorScale" priority="28">
      <colorScale>
        <cfvo type="num" val="0"/>
        <cfvo type="num" val="0.66"/>
        <cfvo type="num" val="1"/>
        <color rgb="FFFF7128"/>
        <color rgb="FFFFEB84"/>
        <color theme="9" tint="-0.249977111117893"/>
      </colorScale>
    </cfRule>
  </conditionalFormatting>
  <conditionalFormatting sqref="F13:G13">
    <cfRule type="colorScale" priority="27">
      <colorScale>
        <cfvo type="num" val="0"/>
        <cfvo type="num" val="0.75"/>
        <cfvo type="num" val="1"/>
        <color rgb="FFFF7128"/>
        <color rgb="FFFFEB84"/>
        <color theme="9" tint="-0.249977111117893"/>
      </colorScale>
    </cfRule>
  </conditionalFormatting>
  <conditionalFormatting sqref="F36:G36">
    <cfRule type="colorScale" priority="12">
      <colorScale>
        <cfvo type="num" val="0"/>
        <cfvo type="num" val="0.66"/>
        <cfvo type="num" val="1"/>
        <color rgb="FFFF7128"/>
        <color rgb="FFFFEB84"/>
        <color theme="9" tint="-0.249977111117893"/>
      </colorScale>
    </cfRule>
  </conditionalFormatting>
  <conditionalFormatting sqref="F41:G41">
    <cfRule type="colorScale" priority="11">
      <colorScale>
        <cfvo type="num" val="0"/>
        <cfvo type="num" val="0.66"/>
        <cfvo type="num" val="1"/>
        <color rgb="FFFF7128"/>
        <color rgb="FFFFEB84"/>
        <color theme="9" tint="-0.249977111117893"/>
      </colorScale>
    </cfRule>
  </conditionalFormatting>
  <conditionalFormatting sqref="F68:G68">
    <cfRule type="colorScale" priority="8">
      <colorScale>
        <cfvo type="num" val="0"/>
        <cfvo type="num" val="0.66"/>
        <cfvo type="num" val="1"/>
        <color rgb="FFFF7128"/>
        <color rgb="FFFFEB84"/>
        <color theme="9" tint="-0.249977111117893"/>
      </colorScale>
    </cfRule>
  </conditionalFormatting>
  <conditionalFormatting sqref="F82:G82">
    <cfRule type="colorScale" priority="20">
      <colorScale>
        <cfvo type="num" val="0"/>
        <cfvo type="num" val="0.75"/>
        <cfvo type="num" val="1"/>
        <color rgb="FFFF7128"/>
        <color rgb="FFFFEB84"/>
        <color theme="9" tint="-0.249977111117893"/>
      </colorScale>
    </cfRule>
  </conditionalFormatting>
  <conditionalFormatting sqref="F91:G91">
    <cfRule type="colorScale" priority="19">
      <colorScale>
        <cfvo type="num" val="0"/>
        <cfvo type="num" val="0.75"/>
        <cfvo type="num" val="1"/>
        <color rgb="FFFF7128"/>
        <color rgb="FFFFEB84"/>
        <color theme="9" tint="-0.249977111117893"/>
      </colorScale>
    </cfRule>
  </conditionalFormatting>
  <conditionalFormatting sqref="F96:G96">
    <cfRule type="colorScale" priority="18">
      <colorScale>
        <cfvo type="num" val="0"/>
        <cfvo type="num" val="0.75"/>
        <cfvo type="num" val="1"/>
        <color rgb="FFFF7128"/>
        <color rgb="FFFFEB84"/>
        <color theme="9" tint="-0.249977111117893"/>
      </colorScale>
    </cfRule>
  </conditionalFormatting>
  <conditionalFormatting sqref="G22">
    <cfRule type="colorScale" priority="26">
      <colorScale>
        <cfvo type="num" val="0"/>
        <cfvo type="num" val="0.75"/>
        <cfvo type="num" val="1"/>
        <color rgb="FFFF7128"/>
        <color rgb="FFFFEB84"/>
        <color theme="9" tint="-0.249977111117893"/>
      </colorScale>
    </cfRule>
  </conditionalFormatting>
  <conditionalFormatting sqref="G27">
    <cfRule type="colorScale" priority="5">
      <colorScale>
        <cfvo type="num" val="0"/>
        <cfvo type="num" val="0.66"/>
        <cfvo type="num" val="1"/>
        <color rgb="FFFF7128"/>
        <color rgb="FFFFEB84"/>
        <color theme="9" tint="-0.249977111117893"/>
      </colorScale>
    </cfRule>
  </conditionalFormatting>
  <conditionalFormatting sqref="G63:G64">
    <cfRule type="colorScale" priority="3">
      <colorScale>
        <cfvo type="num" val="0"/>
        <cfvo type="num" val="0.66"/>
        <cfvo type="num" val="1"/>
        <color rgb="FFFF7128"/>
        <color rgb="FFFFEB84"/>
        <color theme="9" tint="-0.249977111117893"/>
      </colorScale>
    </cfRule>
  </conditionalFormatting>
  <conditionalFormatting sqref="G69:G70">
    <cfRule type="colorScale" priority="9">
      <colorScale>
        <cfvo type="num" val="0"/>
        <cfvo type="num" val="0.66"/>
        <cfvo type="num" val="1"/>
        <color rgb="FFFF7128"/>
        <color rgb="FFFFEB84"/>
        <color theme="9" tint="-0.249977111117893"/>
      </colorScale>
    </cfRule>
  </conditionalFormatting>
  <dataValidations count="4">
    <dataValidation type="list" allowBlank="1" showInputMessage="1" showErrorMessage="1" sqref="J215 Y4 T4 O4 J4 J200 Y215 T215 O215 Y18 T18 O200 J18 Y127 T127 O127 J127 Y112 T112 O112 J112 Y142 T142 O142 J142 Y157 T157 O157 J157 Y172 T172 O172 J172 Y186 T186 O186 J186 Y200 T200 O18 J32 O32 T32 Y32 J45 Y59 T59 O59 J59 Y73 T73 O73 J73 Y87 T87 O87 J87 O45" xr:uid="{08DF0FDD-FC44-5D49-8FFC-CA64B0AEEE24}">
      <formula1>$B$228:$B$231</formula1>
    </dataValidation>
    <dataValidation type="list" allowBlank="1" showInputMessage="1" showErrorMessage="1" sqref="AA214 L3 Q3 V3 AA3 AA199 L214 Q214 V214 AA86 L31 V17 AA17 L185 Q185 V185 AA185 L171 Q171 V171 AA171 L156 Q156 V156 AA156 L141 Q141 V141 AA141 L111 Q111 V111 AA111 L126 Q126 V126 AA126 L199 Q199 V199 L58 Q58 V58 AA58 L72 Q72 V72 AA72 L86 Q86 V86 L17 Q17 Q31 V31 AA31 L44 Q44" xr:uid="{0F63B81B-85C7-7046-A810-C89C2411DF0F}">
      <formula1>$D$229:$D$230</formula1>
    </dataValidation>
    <dataValidation type="list" allowBlank="1" showInputMessage="1" showErrorMessage="1" sqref="Y214 J3 O3 T3 Y3 Y199 J214 O214 T214 J17 O17 T17 Y17 J185 O185 T185 Y185 J171 O171 T171 Y171 J156 O156 T156 Y156 J141 O141 T141 Y141 J111 O111 T111 Y111 J126 O126 T126 Y126 J199 O199 T199 J58 O58 T58 Y58 J72 O72 T72 Y72 J86 O86 T86 Y86" xr:uid="{51E1303D-6927-E94E-9FFC-409C9D05147D}">
      <formula1>$E$229:$E$240</formula1>
    </dataValidation>
    <dataValidation type="list" allowBlank="1" showInputMessage="1" showErrorMessage="1" sqref="J44 O44 J31 O31 T31 Y31" xr:uid="{783FD4FD-B291-7D4F-A91E-D4F9FE9C0A05}">
      <formula1>$E$345:$E$356</formula1>
    </dataValidation>
  </dataValidations>
  <pageMargins left="0.7" right="0.7" top="0.78740157499999996" bottom="0.78740157499999996" header="0.3" footer="0.3"/>
  <pageSetup paperSize="9" scale="31"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4B203-6AD0-0441-AC07-4BDD022E3455}">
  <sheetPr>
    <pageSetUpPr fitToPage="1"/>
  </sheetPr>
  <dimension ref="A1:AA156"/>
  <sheetViews>
    <sheetView topLeftCell="A40" zoomScale="60" zoomScaleNormal="42" zoomScalePageLayoutView="50" workbookViewId="0">
      <selection activeCell="P134" sqref="P134"/>
    </sheetView>
  </sheetViews>
  <sheetFormatPr baseColWidth="10" defaultRowHeight="15" outlineLevelRow="1" x14ac:dyDescent="0.2"/>
  <cols>
    <col min="1" max="1" width="13.6640625" style="6" customWidth="1"/>
    <col min="2" max="2" width="9.1640625" style="7" customWidth="1"/>
    <col min="3" max="3" width="2.83203125" style="6" customWidth="1"/>
    <col min="4" max="4" width="15" style="6" customWidth="1"/>
    <col min="5" max="5" width="8.83203125" style="6" customWidth="1"/>
    <col min="6" max="6" width="15.1640625" style="6" customWidth="1"/>
    <col min="7" max="7" width="11" style="6" customWidth="1"/>
    <col min="8" max="8" width="3" style="6" customWidth="1"/>
    <col min="9" max="9" width="11.83203125" style="6" customWidth="1"/>
    <col min="10" max="10" width="7.5" style="6" customWidth="1"/>
    <col min="11" max="11" width="8.1640625" style="6" customWidth="1"/>
    <col min="12" max="12" width="10.5" style="6" customWidth="1"/>
    <col min="13" max="13" width="2.83203125" style="6" customWidth="1"/>
    <col min="14" max="14" width="11.83203125" style="6" customWidth="1"/>
    <col min="15" max="15" width="7" style="6" customWidth="1"/>
    <col min="16" max="16" width="7.6640625" style="6" customWidth="1"/>
    <col min="17" max="17" width="11.1640625" style="6" customWidth="1"/>
    <col min="18" max="18" width="3.33203125" style="6" customWidth="1"/>
    <col min="19" max="19" width="12" style="6" customWidth="1"/>
    <col min="20" max="20" width="6.83203125" style="6" customWidth="1"/>
    <col min="21" max="21" width="7.33203125" style="6" customWidth="1"/>
    <col min="22" max="22" width="10.33203125" style="6" customWidth="1"/>
    <col min="23" max="23" width="3.1640625" style="6" customWidth="1"/>
    <col min="24" max="24" width="12.33203125" style="6" customWidth="1"/>
    <col min="25" max="25" width="7.1640625" style="6" customWidth="1"/>
    <col min="26" max="26" width="8" style="6" customWidth="1"/>
    <col min="27" max="27" width="9.6640625" style="6" customWidth="1"/>
    <col min="28" max="28" width="1.5" style="6" customWidth="1"/>
    <col min="29" max="29" width="9" style="6" customWidth="1"/>
    <col min="30" max="30" width="5.83203125" style="6" customWidth="1"/>
    <col min="31" max="31" width="10.5" style="6" customWidth="1"/>
    <col min="32" max="32" width="7.83203125" style="6" customWidth="1"/>
    <col min="33" max="33" width="10.83203125" style="6"/>
    <col min="34" max="34" width="8.83203125" style="6" customWidth="1"/>
    <col min="35" max="16384" width="10.83203125" style="6"/>
  </cols>
  <sheetData>
    <row r="1" spans="1:27" ht="32" customHeight="1" x14ac:dyDescent="0.2">
      <c r="A1" s="32" t="s">
        <v>0</v>
      </c>
      <c r="B1" s="40" t="s">
        <v>68</v>
      </c>
      <c r="C1" s="32"/>
      <c r="D1" s="32"/>
      <c r="E1" s="32"/>
      <c r="F1" s="32"/>
      <c r="G1" s="32"/>
      <c r="H1" s="32"/>
      <c r="I1" s="60"/>
      <c r="J1" s="32"/>
      <c r="K1" s="32"/>
      <c r="L1" s="32"/>
      <c r="M1" s="32"/>
      <c r="N1" s="32"/>
      <c r="O1" s="32"/>
      <c r="P1" s="32"/>
      <c r="Q1" s="32"/>
      <c r="R1" s="32"/>
      <c r="S1" s="32"/>
      <c r="T1" s="32"/>
      <c r="U1" s="32"/>
      <c r="V1" s="32"/>
      <c r="W1" s="32"/>
      <c r="X1" s="32"/>
      <c r="Y1" s="32"/>
      <c r="Z1" s="76" t="s">
        <v>81</v>
      </c>
      <c r="AA1" s="76"/>
    </row>
    <row r="2" spans="1:27" ht="13" customHeight="1" x14ac:dyDescent="0.2">
      <c r="A2" s="1"/>
      <c r="B2" s="2"/>
      <c r="C2" s="1"/>
      <c r="D2" s="1"/>
      <c r="E2" s="1"/>
      <c r="F2" s="1"/>
      <c r="G2" s="1"/>
      <c r="H2" s="1"/>
      <c r="I2" s="1"/>
      <c r="J2" s="1"/>
      <c r="K2" s="1"/>
      <c r="L2" s="1"/>
      <c r="M2" s="1"/>
    </row>
    <row r="3" spans="1:27" ht="16" x14ac:dyDescent="0.2">
      <c r="A3" s="1" t="s">
        <v>1</v>
      </c>
      <c r="B3" s="2">
        <v>121</v>
      </c>
      <c r="C3" s="1"/>
      <c r="D3" s="1"/>
      <c r="E3" s="1"/>
      <c r="F3" s="1"/>
      <c r="G3" s="1"/>
      <c r="H3" s="1"/>
      <c r="I3" s="1"/>
      <c r="J3" s="1"/>
      <c r="K3" s="1"/>
      <c r="L3" s="1"/>
      <c r="M3" s="1"/>
    </row>
    <row r="4" spans="1:27" ht="18" customHeight="1" outlineLevel="1" x14ac:dyDescent="0.2">
      <c r="A4" s="1"/>
      <c r="I4" s="20" t="s">
        <v>77</v>
      </c>
      <c r="J4" s="20">
        <v>1</v>
      </c>
      <c r="K4" s="20" t="s">
        <v>12</v>
      </c>
      <c r="L4" s="20" t="s">
        <v>14</v>
      </c>
      <c r="M4" s="33"/>
      <c r="N4" s="20" t="s">
        <v>77</v>
      </c>
      <c r="O4" s="20">
        <v>2</v>
      </c>
      <c r="P4" s="20" t="s">
        <v>12</v>
      </c>
      <c r="Q4" s="20" t="s">
        <v>15</v>
      </c>
      <c r="R4" s="21"/>
    </row>
    <row r="5" spans="1:27" outlineLevel="1" x14ac:dyDescent="0.2">
      <c r="A5" s="1"/>
      <c r="I5" s="19" t="s">
        <v>11</v>
      </c>
      <c r="J5" s="35" t="s">
        <v>7</v>
      </c>
      <c r="K5" s="19"/>
      <c r="L5" s="19"/>
      <c r="M5" s="33"/>
      <c r="N5" s="19" t="s">
        <v>11</v>
      </c>
      <c r="O5" s="35" t="s">
        <v>5</v>
      </c>
      <c r="P5" s="19"/>
      <c r="Q5" s="19"/>
      <c r="R5" s="21"/>
    </row>
    <row r="6" spans="1:27" ht="18" customHeight="1" outlineLevel="1" x14ac:dyDescent="0.2">
      <c r="A6" s="1"/>
      <c r="D6" s="19" t="s">
        <v>41</v>
      </c>
      <c r="E6" s="19" t="s">
        <v>60</v>
      </c>
      <c r="F6" s="20" t="s">
        <v>61</v>
      </c>
      <c r="G6" s="19" t="s">
        <v>18</v>
      </c>
      <c r="H6" s="21"/>
      <c r="I6" s="20" t="s">
        <v>9</v>
      </c>
      <c r="J6" s="20" t="s">
        <v>66</v>
      </c>
      <c r="K6" s="20" t="s">
        <v>60</v>
      </c>
      <c r="L6" s="20" t="s">
        <v>62</v>
      </c>
      <c r="M6" s="33"/>
      <c r="N6" s="20" t="s">
        <v>9</v>
      </c>
      <c r="O6" s="20" t="s">
        <v>66</v>
      </c>
      <c r="P6" s="20" t="s">
        <v>60</v>
      </c>
      <c r="Q6" s="20" t="s">
        <v>62</v>
      </c>
      <c r="R6" s="21"/>
    </row>
    <row r="7" spans="1:27" ht="17" customHeight="1" outlineLevel="1" x14ac:dyDescent="0.2">
      <c r="A7" s="1"/>
      <c r="D7" s="19" t="s">
        <v>16</v>
      </c>
      <c r="E7" s="19">
        <f>SUM(K15,P15,U15,Z15)</f>
        <v>0</v>
      </c>
      <c r="F7" s="19">
        <f>SUM(L15,Q15,V15,AA15)</f>
        <v>68</v>
      </c>
      <c r="G7" s="19">
        <f>SUM(E7:F7)</f>
        <v>68</v>
      </c>
      <c r="H7" s="21"/>
      <c r="I7" s="20">
        <v>1</v>
      </c>
      <c r="J7" s="20">
        <f t="shared" ref="J7:J14" si="0">SUM(K7,L7)</f>
        <v>2</v>
      </c>
      <c r="K7" s="20"/>
      <c r="L7" s="20">
        <v>2</v>
      </c>
      <c r="M7" s="33"/>
      <c r="N7" s="20">
        <v>1</v>
      </c>
      <c r="O7" s="20">
        <f t="shared" ref="O7:O14" si="1">SUM(P7,Q7)</f>
        <v>2</v>
      </c>
      <c r="P7" s="20"/>
      <c r="Q7" s="20">
        <v>2</v>
      </c>
      <c r="R7" s="21"/>
    </row>
    <row r="8" spans="1:27" outlineLevel="1" x14ac:dyDescent="0.2">
      <c r="A8" s="1"/>
      <c r="D8" s="19" t="s">
        <v>17</v>
      </c>
      <c r="E8" s="19">
        <v>0</v>
      </c>
      <c r="F8" s="19">
        <v>48.1</v>
      </c>
      <c r="G8" s="19">
        <f>SUM(E8:F8)</f>
        <v>48.1</v>
      </c>
      <c r="H8" s="21"/>
      <c r="I8" s="19">
        <v>2</v>
      </c>
      <c r="J8" s="20">
        <f t="shared" si="0"/>
        <v>5</v>
      </c>
      <c r="K8" s="19"/>
      <c r="L8" s="19">
        <v>5</v>
      </c>
      <c r="M8" s="33"/>
      <c r="N8" s="19">
        <v>2</v>
      </c>
      <c r="O8" s="20">
        <f t="shared" si="1"/>
        <v>5</v>
      </c>
      <c r="P8" s="19"/>
      <c r="Q8" s="19">
        <v>5</v>
      </c>
      <c r="R8" s="21"/>
    </row>
    <row r="9" spans="1:27" outlineLevel="1" x14ac:dyDescent="0.2">
      <c r="A9" s="1"/>
      <c r="D9" s="19" t="s">
        <v>40</v>
      </c>
      <c r="E9" s="22"/>
      <c r="F9" s="22">
        <f>MIN(F7,F8)/MAX(F7,F8)</f>
        <v>0.70735294117647063</v>
      </c>
      <c r="G9" s="22">
        <f>MIN(G7,G8)/MAX(G7,G8)</f>
        <v>0.70735294117647063</v>
      </c>
      <c r="H9" s="21"/>
      <c r="I9" s="19">
        <v>3</v>
      </c>
      <c r="J9" s="20">
        <f t="shared" si="0"/>
        <v>4</v>
      </c>
      <c r="K9" s="19"/>
      <c r="L9" s="19">
        <v>4</v>
      </c>
      <c r="M9" s="33"/>
      <c r="N9" s="19">
        <v>3</v>
      </c>
      <c r="O9" s="20">
        <f t="shared" si="1"/>
        <v>4</v>
      </c>
      <c r="P9" s="19"/>
      <c r="Q9" s="19">
        <v>4</v>
      </c>
      <c r="R9" s="21"/>
    </row>
    <row r="10" spans="1:27" outlineLevel="1" x14ac:dyDescent="0.2">
      <c r="D10" s="38"/>
      <c r="E10" s="38"/>
      <c r="F10" s="38"/>
      <c r="G10" s="38"/>
      <c r="I10" s="20">
        <v>4</v>
      </c>
      <c r="J10" s="20">
        <f t="shared" si="0"/>
        <v>5</v>
      </c>
      <c r="K10" s="19"/>
      <c r="L10" s="19">
        <v>5</v>
      </c>
      <c r="M10" s="33"/>
      <c r="N10" s="20">
        <v>4</v>
      </c>
      <c r="O10" s="20">
        <f t="shared" si="1"/>
        <v>5</v>
      </c>
      <c r="P10" s="19"/>
      <c r="Q10" s="19">
        <v>5</v>
      </c>
      <c r="R10" s="21"/>
    </row>
    <row r="11" spans="1:27" ht="16" customHeight="1" outlineLevel="1" x14ac:dyDescent="0.2">
      <c r="D11" s="19" t="s">
        <v>0</v>
      </c>
      <c r="E11" s="20" t="s">
        <v>63</v>
      </c>
      <c r="F11" s="20" t="s">
        <v>64</v>
      </c>
      <c r="G11" s="19" t="s">
        <v>37</v>
      </c>
      <c r="H11" s="21"/>
      <c r="I11" s="20">
        <v>5</v>
      </c>
      <c r="J11" s="20">
        <f t="shared" si="0"/>
        <v>4</v>
      </c>
      <c r="K11" s="19"/>
      <c r="L11" s="19">
        <v>4</v>
      </c>
      <c r="M11" s="33"/>
      <c r="N11" s="20">
        <v>5</v>
      </c>
      <c r="O11" s="20">
        <f t="shared" si="1"/>
        <v>4</v>
      </c>
      <c r="P11" s="19"/>
      <c r="Q11" s="19">
        <v>4</v>
      </c>
      <c r="R11" s="21"/>
    </row>
    <row r="12" spans="1:27" outlineLevel="1" x14ac:dyDescent="0.2">
      <c r="D12" s="19" t="s">
        <v>16</v>
      </c>
      <c r="E12" s="19">
        <f>SUM(P15,)</f>
        <v>0</v>
      </c>
      <c r="F12" s="19">
        <f>SUM(Q15,)</f>
        <v>34</v>
      </c>
      <c r="G12" s="19">
        <f>SUM(E12:F12)</f>
        <v>34</v>
      </c>
      <c r="H12" s="21"/>
      <c r="I12" s="20">
        <v>6</v>
      </c>
      <c r="J12" s="20">
        <f t="shared" si="0"/>
        <v>5</v>
      </c>
      <c r="K12" s="19"/>
      <c r="L12" s="19">
        <v>5</v>
      </c>
      <c r="M12" s="33"/>
      <c r="N12" s="20">
        <v>6</v>
      </c>
      <c r="O12" s="20">
        <f t="shared" si="1"/>
        <v>5</v>
      </c>
      <c r="P12" s="19"/>
      <c r="Q12" s="19">
        <v>5</v>
      </c>
      <c r="R12" s="21"/>
    </row>
    <row r="13" spans="1:27" outlineLevel="1" x14ac:dyDescent="0.2">
      <c r="B13" s="79" t="s">
        <v>48</v>
      </c>
      <c r="C13" s="21"/>
      <c r="D13" s="19" t="s">
        <v>17</v>
      </c>
      <c r="E13" s="19">
        <v>0</v>
      </c>
      <c r="F13" s="19">
        <v>24</v>
      </c>
      <c r="G13" s="19">
        <f>SUM(E13:F13)</f>
        <v>24</v>
      </c>
      <c r="H13" s="21"/>
      <c r="I13" s="20">
        <v>7</v>
      </c>
      <c r="J13" s="20">
        <f t="shared" si="0"/>
        <v>4</v>
      </c>
      <c r="K13" s="19"/>
      <c r="L13" s="19">
        <v>4</v>
      </c>
      <c r="M13" s="33"/>
      <c r="N13" s="20">
        <v>7</v>
      </c>
      <c r="O13" s="20">
        <f t="shared" si="1"/>
        <v>4</v>
      </c>
      <c r="P13" s="19"/>
      <c r="Q13" s="19">
        <v>4</v>
      </c>
      <c r="R13" s="21"/>
    </row>
    <row r="14" spans="1:27" outlineLevel="1" x14ac:dyDescent="0.2">
      <c r="B14" s="79"/>
      <c r="C14" s="21"/>
      <c r="D14" s="19" t="s">
        <v>40</v>
      </c>
      <c r="E14" s="22"/>
      <c r="F14" s="22">
        <f>MIN(F12,F13)/MAX(F12,F13)</f>
        <v>0.70588235294117652</v>
      </c>
      <c r="G14" s="22">
        <f>MIN(G12,G13)/MAX(G12,G13)</f>
        <v>0.70588235294117652</v>
      </c>
      <c r="H14" s="21"/>
      <c r="I14" s="19" t="s">
        <v>10</v>
      </c>
      <c r="J14" s="20">
        <f t="shared" si="0"/>
        <v>5</v>
      </c>
      <c r="K14" s="19"/>
      <c r="L14" s="19">
        <v>5</v>
      </c>
      <c r="M14" s="33"/>
      <c r="N14" s="19" t="s">
        <v>10</v>
      </c>
      <c r="O14" s="20">
        <f t="shared" si="1"/>
        <v>5</v>
      </c>
      <c r="P14" s="19"/>
      <c r="Q14" s="19">
        <v>5</v>
      </c>
      <c r="R14" s="21"/>
    </row>
    <row r="15" spans="1:27" outlineLevel="1" x14ac:dyDescent="0.2">
      <c r="B15" s="37"/>
      <c r="D15" s="38"/>
      <c r="E15" s="38"/>
      <c r="F15" s="38"/>
      <c r="G15" s="38"/>
      <c r="I15" s="19" t="s">
        <v>13</v>
      </c>
      <c r="J15" s="19">
        <f>(SUM(J7:J14))</f>
        <v>34</v>
      </c>
      <c r="K15" s="19">
        <f>(SUM(K7:K14))</f>
        <v>0</v>
      </c>
      <c r="L15" s="19">
        <f>(SUM(L7:L14))</f>
        <v>34</v>
      </c>
      <c r="M15" s="33"/>
      <c r="N15" s="19" t="s">
        <v>13</v>
      </c>
      <c r="O15" s="19">
        <f>(SUM(O7:O14))</f>
        <v>34</v>
      </c>
      <c r="P15" s="19">
        <f>(SUM(P7:P14))</f>
        <v>0</v>
      </c>
      <c r="Q15" s="19">
        <f>(SUM(Q7:Q14))</f>
        <v>34</v>
      </c>
      <c r="R15" s="21"/>
    </row>
    <row r="16" spans="1:27" outlineLevel="1" x14ac:dyDescent="0.2">
      <c r="I16" s="38"/>
      <c r="J16" s="38"/>
      <c r="K16" s="38"/>
      <c r="L16" s="38"/>
      <c r="M16" s="1"/>
      <c r="N16" s="38"/>
      <c r="O16" s="38"/>
      <c r="P16" s="38"/>
      <c r="Q16" s="38"/>
    </row>
    <row r="17" spans="1:27" x14ac:dyDescent="0.2">
      <c r="B17" s="2"/>
      <c r="C17" s="1"/>
      <c r="D17" s="1"/>
      <c r="E17" s="1"/>
      <c r="F17" s="1"/>
      <c r="G17" s="1"/>
      <c r="H17" s="1"/>
      <c r="I17" s="1"/>
      <c r="J17" s="1"/>
      <c r="K17" s="1"/>
      <c r="L17" s="1"/>
      <c r="M17" s="1"/>
    </row>
    <row r="18" spans="1:27" ht="18" customHeight="1" outlineLevel="1" x14ac:dyDescent="0.2">
      <c r="A18" s="1" t="s">
        <v>2</v>
      </c>
      <c r="B18" s="7">
        <v>47</v>
      </c>
      <c r="I18" s="20" t="s">
        <v>77</v>
      </c>
      <c r="J18" s="20">
        <v>1</v>
      </c>
      <c r="K18" s="20" t="s">
        <v>12</v>
      </c>
      <c r="L18" s="20" t="s">
        <v>15</v>
      </c>
      <c r="M18" s="33"/>
      <c r="N18" s="20" t="s">
        <v>77</v>
      </c>
      <c r="O18" s="20">
        <v>2</v>
      </c>
      <c r="P18" s="20" t="s">
        <v>12</v>
      </c>
      <c r="Q18" s="20" t="s">
        <v>14</v>
      </c>
      <c r="R18" s="21"/>
      <c r="S18" s="1"/>
      <c r="T18" s="1"/>
      <c r="U18" s="1"/>
      <c r="V18" s="1"/>
      <c r="X18" s="1"/>
      <c r="Y18" s="1"/>
      <c r="Z18" s="1"/>
      <c r="AA18" s="1"/>
    </row>
    <row r="19" spans="1:27" outlineLevel="1" x14ac:dyDescent="0.2">
      <c r="I19" s="19" t="s">
        <v>11</v>
      </c>
      <c r="J19" s="35" t="s">
        <v>6</v>
      </c>
      <c r="K19" s="19"/>
      <c r="L19" s="19"/>
      <c r="M19" s="33"/>
      <c r="N19" s="19" t="s">
        <v>11</v>
      </c>
      <c r="O19" s="35" t="s">
        <v>8</v>
      </c>
      <c r="P19" s="19"/>
      <c r="Q19" s="19"/>
      <c r="R19" s="21"/>
    </row>
    <row r="20" spans="1:27" ht="16" customHeight="1" outlineLevel="1" x14ac:dyDescent="0.2">
      <c r="D20" s="19" t="s">
        <v>41</v>
      </c>
      <c r="E20" s="19" t="s">
        <v>60</v>
      </c>
      <c r="F20" s="20" t="s">
        <v>61</v>
      </c>
      <c r="G20" s="19" t="s">
        <v>43</v>
      </c>
      <c r="H20" s="21"/>
      <c r="I20" s="20" t="s">
        <v>9</v>
      </c>
      <c r="J20" s="20" t="s">
        <v>66</v>
      </c>
      <c r="K20" s="20" t="s">
        <v>60</v>
      </c>
      <c r="L20" s="20" t="s">
        <v>62</v>
      </c>
      <c r="M20" s="33"/>
      <c r="N20" s="20" t="s">
        <v>9</v>
      </c>
      <c r="O20" s="20" t="s">
        <v>66</v>
      </c>
      <c r="P20" s="20" t="s">
        <v>60</v>
      </c>
      <c r="Q20" s="20" t="s">
        <v>62</v>
      </c>
      <c r="R20" s="21"/>
      <c r="S20" s="1"/>
      <c r="T20" s="1"/>
      <c r="U20" s="1"/>
      <c r="V20" s="1"/>
      <c r="X20" s="1"/>
      <c r="Y20" s="1"/>
      <c r="Z20" s="1"/>
      <c r="AA20" s="1"/>
    </row>
    <row r="21" spans="1:27" outlineLevel="1" x14ac:dyDescent="0.2">
      <c r="D21" s="19" t="s">
        <v>16</v>
      </c>
      <c r="E21" s="19">
        <f>SUM(K29,P29,U29,Z29)</f>
        <v>0</v>
      </c>
      <c r="F21" s="19">
        <f>SUM(L29,Q29,V29,AA29)</f>
        <v>57</v>
      </c>
      <c r="G21" s="19">
        <f>SUM(E21:F21)</f>
        <v>57</v>
      </c>
      <c r="H21" s="21"/>
      <c r="I21" s="20">
        <v>1</v>
      </c>
      <c r="J21" s="20">
        <f>SUM(K21,L21)</f>
        <v>0</v>
      </c>
      <c r="K21" s="20"/>
      <c r="L21" s="20">
        <v>0</v>
      </c>
      <c r="M21" s="33"/>
      <c r="N21" s="20">
        <v>1</v>
      </c>
      <c r="O21" s="20">
        <f t="shared" ref="O21:O28" si="2">SUM(P21,Q21)</f>
        <v>1</v>
      </c>
      <c r="P21" s="20"/>
      <c r="Q21" s="20">
        <v>1</v>
      </c>
      <c r="R21" s="21"/>
      <c r="S21" s="1"/>
      <c r="T21" s="1"/>
      <c r="U21" s="1"/>
      <c r="V21" s="1"/>
      <c r="X21" s="1"/>
      <c r="Y21" s="1"/>
      <c r="Z21" s="1"/>
      <c r="AA21" s="1"/>
    </row>
    <row r="22" spans="1:27" outlineLevel="1" x14ac:dyDescent="0.2">
      <c r="D22" s="19" t="s">
        <v>17</v>
      </c>
      <c r="E22" s="19">
        <v>0</v>
      </c>
      <c r="F22" s="19">
        <v>68</v>
      </c>
      <c r="G22" s="19">
        <f>SUM(E22:F22)</f>
        <v>68</v>
      </c>
      <c r="H22" s="21"/>
      <c r="I22" s="19">
        <v>2</v>
      </c>
      <c r="J22" s="20">
        <v>0</v>
      </c>
      <c r="K22" s="19"/>
      <c r="L22" s="19">
        <v>4</v>
      </c>
      <c r="M22" s="33"/>
      <c r="N22" s="19">
        <v>2</v>
      </c>
      <c r="O22" s="20">
        <f t="shared" si="2"/>
        <v>4</v>
      </c>
      <c r="P22" s="19"/>
      <c r="Q22" s="19">
        <v>4</v>
      </c>
      <c r="R22" s="21"/>
      <c r="T22" s="1"/>
      <c r="Y22" s="1"/>
    </row>
    <row r="23" spans="1:27" outlineLevel="1" x14ac:dyDescent="0.2">
      <c r="D23" s="19" t="s">
        <v>40</v>
      </c>
      <c r="E23" s="19"/>
      <c r="F23" s="22">
        <f>MIN(F21,F22)/MAX(F21,F22)</f>
        <v>0.83823529411764708</v>
      </c>
      <c r="G23" s="22">
        <f>MIN(G21,G22)/MAX(G21,G22)</f>
        <v>0.83823529411764708</v>
      </c>
      <c r="H23" s="21"/>
      <c r="I23" s="19">
        <v>3</v>
      </c>
      <c r="J23" s="20">
        <f t="shared" ref="J23:J28" si="3">SUM(K23,L23)</f>
        <v>4</v>
      </c>
      <c r="K23" s="19"/>
      <c r="L23" s="19">
        <v>4</v>
      </c>
      <c r="M23" s="33"/>
      <c r="N23" s="19">
        <v>3</v>
      </c>
      <c r="O23" s="20">
        <f t="shared" si="2"/>
        <v>4</v>
      </c>
      <c r="P23" s="19"/>
      <c r="Q23" s="19">
        <v>4</v>
      </c>
      <c r="R23" s="21"/>
      <c r="T23" s="1"/>
      <c r="Y23" s="1"/>
    </row>
    <row r="24" spans="1:27" outlineLevel="1" x14ac:dyDescent="0.2">
      <c r="D24" s="38"/>
      <c r="E24" s="38"/>
      <c r="F24" s="38"/>
      <c r="G24" s="38"/>
      <c r="I24" s="20">
        <v>4</v>
      </c>
      <c r="J24" s="20">
        <f t="shared" si="3"/>
        <v>4</v>
      </c>
      <c r="K24" s="19"/>
      <c r="L24" s="19">
        <v>4</v>
      </c>
      <c r="M24" s="33"/>
      <c r="N24" s="20">
        <v>4</v>
      </c>
      <c r="O24" s="20">
        <f t="shared" si="2"/>
        <v>4</v>
      </c>
      <c r="P24" s="19"/>
      <c r="Q24" s="19">
        <v>4</v>
      </c>
      <c r="R24" s="21"/>
      <c r="S24" s="1"/>
      <c r="T24" s="1"/>
      <c r="X24" s="1"/>
      <c r="Y24" s="1"/>
    </row>
    <row r="25" spans="1:27" ht="18" customHeight="1" outlineLevel="1" x14ac:dyDescent="0.2">
      <c r="D25" s="19" t="s">
        <v>0</v>
      </c>
      <c r="E25" s="20" t="s">
        <v>63</v>
      </c>
      <c r="F25" s="20" t="s">
        <v>64</v>
      </c>
      <c r="G25" s="19" t="s">
        <v>37</v>
      </c>
      <c r="H25" s="21"/>
      <c r="I25" s="20">
        <v>5</v>
      </c>
      <c r="J25" s="20">
        <f t="shared" si="3"/>
        <v>4</v>
      </c>
      <c r="K25" s="19"/>
      <c r="L25" s="19">
        <v>4</v>
      </c>
      <c r="M25" s="33"/>
      <c r="N25" s="20">
        <v>5</v>
      </c>
      <c r="O25" s="20">
        <f t="shared" si="2"/>
        <v>4</v>
      </c>
      <c r="P25" s="19"/>
      <c r="Q25" s="19">
        <v>4</v>
      </c>
      <c r="R25" s="21"/>
      <c r="S25" s="1"/>
      <c r="T25" s="1"/>
      <c r="X25" s="1"/>
      <c r="Y25" s="1"/>
    </row>
    <row r="26" spans="1:27" outlineLevel="1" x14ac:dyDescent="0.2">
      <c r="D26" s="19" t="s">
        <v>16</v>
      </c>
      <c r="E26" s="19">
        <f>SUM(K29)</f>
        <v>0</v>
      </c>
      <c r="F26" s="19">
        <f>SUM(L29)</f>
        <v>28</v>
      </c>
      <c r="G26" s="19">
        <f>SUM(E26:F26)</f>
        <v>28</v>
      </c>
      <c r="H26" s="21"/>
      <c r="I26" s="20">
        <v>6</v>
      </c>
      <c r="J26" s="20">
        <f t="shared" si="3"/>
        <v>4</v>
      </c>
      <c r="K26" s="19"/>
      <c r="L26" s="19">
        <v>4</v>
      </c>
      <c r="M26" s="33"/>
      <c r="N26" s="20">
        <v>6</v>
      </c>
      <c r="O26" s="20">
        <f t="shared" si="2"/>
        <v>4</v>
      </c>
      <c r="P26" s="19"/>
      <c r="Q26" s="19">
        <v>4</v>
      </c>
      <c r="R26" s="21"/>
      <c r="S26" s="1"/>
      <c r="T26" s="1"/>
      <c r="X26" s="1"/>
      <c r="Y26" s="1"/>
    </row>
    <row r="27" spans="1:27" outlineLevel="1" x14ac:dyDescent="0.2">
      <c r="D27" s="19" t="s">
        <v>17</v>
      </c>
      <c r="E27" s="19">
        <v>0</v>
      </c>
      <c r="F27" s="19">
        <v>20</v>
      </c>
      <c r="G27" s="19">
        <f>SUM(E27:F27)</f>
        <v>20</v>
      </c>
      <c r="H27" s="21"/>
      <c r="I27" s="20">
        <v>7</v>
      </c>
      <c r="J27" s="20">
        <f t="shared" si="3"/>
        <v>0</v>
      </c>
      <c r="K27" s="19"/>
      <c r="L27" s="19"/>
      <c r="M27" s="33"/>
      <c r="N27" s="20">
        <v>7</v>
      </c>
      <c r="O27" s="20">
        <f t="shared" si="2"/>
        <v>4</v>
      </c>
      <c r="P27" s="19"/>
      <c r="Q27" s="19">
        <v>4</v>
      </c>
      <c r="R27" s="21"/>
      <c r="S27" s="1"/>
      <c r="T27" s="1"/>
      <c r="X27" s="1"/>
      <c r="Y27" s="1"/>
    </row>
    <row r="28" spans="1:27" ht="16" customHeight="1" outlineLevel="1" x14ac:dyDescent="0.2">
      <c r="D28" s="19" t="s">
        <v>40</v>
      </c>
      <c r="E28" s="22"/>
      <c r="F28" s="22">
        <f>MIN(F26,F27)/MAX(F26,F27)</f>
        <v>0.7142857142857143</v>
      </c>
      <c r="G28" s="22">
        <f>MIN(G26,G27)/MAX(G26,G27)</f>
        <v>0.7142857142857143</v>
      </c>
      <c r="H28" s="21"/>
      <c r="I28" s="19" t="s">
        <v>10</v>
      </c>
      <c r="J28" s="20">
        <f t="shared" si="3"/>
        <v>8</v>
      </c>
      <c r="K28" s="19"/>
      <c r="L28" s="19">
        <v>8</v>
      </c>
      <c r="M28" s="33"/>
      <c r="N28" s="19" t="s">
        <v>10</v>
      </c>
      <c r="O28" s="20">
        <f t="shared" si="2"/>
        <v>4</v>
      </c>
      <c r="P28" s="19"/>
      <c r="Q28" s="19">
        <v>4</v>
      </c>
      <c r="R28" s="21"/>
      <c r="T28" s="1"/>
      <c r="Y28" s="1"/>
    </row>
    <row r="29" spans="1:27" x14ac:dyDescent="0.2">
      <c r="B29" s="58" t="s">
        <v>49</v>
      </c>
      <c r="C29" s="21"/>
      <c r="D29" s="38"/>
      <c r="E29" s="38"/>
      <c r="F29" s="38"/>
      <c r="G29" s="38"/>
      <c r="I29" s="19" t="s">
        <v>13</v>
      </c>
      <c r="J29" s="19">
        <f>(SUM(J21:J28))</f>
        <v>24</v>
      </c>
      <c r="K29" s="19">
        <f>(SUM(K21:K28))</f>
        <v>0</v>
      </c>
      <c r="L29" s="19">
        <f>(SUM(L21:L28))</f>
        <v>28</v>
      </c>
      <c r="M29" s="33"/>
      <c r="N29" s="19" t="s">
        <v>13</v>
      </c>
      <c r="O29" s="19">
        <f>(SUM(O21:O28))</f>
        <v>29</v>
      </c>
      <c r="P29" s="19">
        <f>(SUM(P21:P28))</f>
        <v>0</v>
      </c>
      <c r="Q29" s="19">
        <f>(SUM(Q21:Q28))</f>
        <v>29</v>
      </c>
      <c r="R29" s="21"/>
    </row>
    <row r="30" spans="1:27" x14ac:dyDescent="0.2">
      <c r="B30" s="37"/>
      <c r="I30" s="38"/>
      <c r="J30" s="38"/>
      <c r="K30" s="38"/>
      <c r="L30" s="38"/>
      <c r="M30" s="1"/>
      <c r="N30" s="38"/>
      <c r="O30" s="38"/>
      <c r="P30" s="38"/>
      <c r="Q30" s="38"/>
    </row>
    <row r="31" spans="1:27" outlineLevel="1" x14ac:dyDescent="0.2"/>
    <row r="32" spans="1:27" ht="17" customHeight="1" outlineLevel="1" x14ac:dyDescent="0.2">
      <c r="A32" s="6" t="s">
        <v>3</v>
      </c>
      <c r="B32" s="7">
        <v>68</v>
      </c>
      <c r="I32" s="20" t="s">
        <v>77</v>
      </c>
      <c r="J32" s="20">
        <v>1</v>
      </c>
      <c r="K32" s="20" t="s">
        <v>12</v>
      </c>
      <c r="L32" s="20" t="s">
        <v>15</v>
      </c>
      <c r="M32" s="33"/>
      <c r="N32" s="20" t="s">
        <v>77</v>
      </c>
      <c r="O32" s="20">
        <v>2</v>
      </c>
      <c r="P32" s="20" t="s">
        <v>12</v>
      </c>
      <c r="Q32" s="20" t="s">
        <v>15</v>
      </c>
      <c r="R32" s="21"/>
      <c r="S32" s="20" t="s">
        <v>77</v>
      </c>
      <c r="T32" s="20">
        <v>3</v>
      </c>
      <c r="U32" s="20" t="s">
        <v>12</v>
      </c>
      <c r="V32" s="20" t="s">
        <v>14</v>
      </c>
      <c r="W32" s="21"/>
      <c r="X32" s="1"/>
      <c r="Y32" s="1"/>
      <c r="Z32" s="1"/>
      <c r="AA32" s="1"/>
    </row>
    <row r="33" spans="1:27" outlineLevel="1" x14ac:dyDescent="0.2">
      <c r="I33" s="19" t="s">
        <v>11</v>
      </c>
      <c r="J33" s="35" t="s">
        <v>6</v>
      </c>
      <c r="K33" s="19"/>
      <c r="L33" s="19"/>
      <c r="M33" s="33"/>
      <c r="N33" s="19" t="s">
        <v>11</v>
      </c>
      <c r="O33" s="35" t="s">
        <v>7</v>
      </c>
      <c r="P33" s="19"/>
      <c r="Q33" s="19"/>
      <c r="R33" s="21"/>
      <c r="S33" s="19" t="s">
        <v>11</v>
      </c>
      <c r="T33" s="35" t="s">
        <v>5</v>
      </c>
      <c r="U33" s="19"/>
      <c r="V33" s="19"/>
      <c r="W33" s="21"/>
    </row>
    <row r="34" spans="1:27" ht="19" customHeight="1" outlineLevel="1" x14ac:dyDescent="0.2">
      <c r="D34" s="19" t="s">
        <v>41</v>
      </c>
      <c r="E34" s="19" t="s">
        <v>60</v>
      </c>
      <c r="F34" s="20" t="s">
        <v>61</v>
      </c>
      <c r="G34" s="19" t="s">
        <v>43</v>
      </c>
      <c r="H34" s="21"/>
      <c r="I34" s="20" t="s">
        <v>9</v>
      </c>
      <c r="J34" s="20" t="s">
        <v>66</v>
      </c>
      <c r="K34" s="20" t="s">
        <v>60</v>
      </c>
      <c r="L34" s="20" t="s">
        <v>62</v>
      </c>
      <c r="M34" s="33"/>
      <c r="N34" s="20" t="s">
        <v>9</v>
      </c>
      <c r="O34" s="20" t="s">
        <v>66</v>
      </c>
      <c r="P34" s="20" t="s">
        <v>60</v>
      </c>
      <c r="Q34" s="20" t="s">
        <v>62</v>
      </c>
      <c r="R34" s="21"/>
      <c r="S34" s="20" t="s">
        <v>9</v>
      </c>
      <c r="T34" s="20" t="s">
        <v>66</v>
      </c>
      <c r="U34" s="20" t="s">
        <v>60</v>
      </c>
      <c r="V34" s="20" t="s">
        <v>62</v>
      </c>
      <c r="W34" s="21"/>
      <c r="X34" s="1"/>
      <c r="Y34" s="1"/>
      <c r="Z34" s="1"/>
      <c r="AA34" s="1"/>
    </row>
    <row r="35" spans="1:27" outlineLevel="1" x14ac:dyDescent="0.2">
      <c r="D35" s="19" t="s">
        <v>16</v>
      </c>
      <c r="E35" s="19">
        <f>SUM(K43,P43,U43,Z43)</f>
        <v>0</v>
      </c>
      <c r="F35" s="19">
        <f>SUM(L43,Q43,V43,AA43)</f>
        <v>91</v>
      </c>
      <c r="G35" s="19">
        <f>SUM(E35:F35)</f>
        <v>91</v>
      </c>
      <c r="H35" s="21"/>
      <c r="I35" s="20">
        <v>1</v>
      </c>
      <c r="J35" s="20">
        <f>SUM(K35,L35)</f>
        <v>3</v>
      </c>
      <c r="K35" s="20"/>
      <c r="L35" s="20">
        <v>3</v>
      </c>
      <c r="M35" s="33"/>
      <c r="N35" s="20">
        <v>1</v>
      </c>
      <c r="O35" s="20">
        <f>SUM(P35,Q35)</f>
        <v>5</v>
      </c>
      <c r="P35" s="20"/>
      <c r="Q35" s="20">
        <v>5</v>
      </c>
      <c r="R35" s="21"/>
      <c r="S35" s="20">
        <v>1</v>
      </c>
      <c r="T35" s="20">
        <f>SUM(U35,V35)</f>
        <v>0</v>
      </c>
      <c r="U35" s="20"/>
      <c r="V35" s="20"/>
      <c r="W35" s="21"/>
      <c r="X35" s="1"/>
      <c r="Y35" s="1"/>
      <c r="Z35" s="1"/>
      <c r="AA35" s="1"/>
    </row>
    <row r="36" spans="1:27" outlineLevel="1" x14ac:dyDescent="0.2">
      <c r="B36" s="79" t="s">
        <v>67</v>
      </c>
      <c r="C36" s="21"/>
      <c r="D36" s="19" t="s">
        <v>17</v>
      </c>
      <c r="E36" s="19">
        <v>0</v>
      </c>
      <c r="F36" s="19">
        <v>123</v>
      </c>
      <c r="G36" s="19">
        <v>123</v>
      </c>
      <c r="H36" s="21"/>
      <c r="I36" s="19">
        <v>2</v>
      </c>
      <c r="J36" s="20">
        <f t="shared" ref="J36:J42" si="4">SUM(K36,L36)</f>
        <v>3</v>
      </c>
      <c r="K36" s="19"/>
      <c r="L36" s="19">
        <v>3</v>
      </c>
      <c r="M36" s="33"/>
      <c r="N36" s="19">
        <v>2</v>
      </c>
      <c r="O36" s="20">
        <f t="shared" ref="O36:O42" si="5">SUM(P36,Q36)</f>
        <v>4</v>
      </c>
      <c r="P36" s="19"/>
      <c r="Q36" s="19">
        <v>4</v>
      </c>
      <c r="R36" s="21"/>
      <c r="S36" s="19">
        <v>2</v>
      </c>
      <c r="T36" s="20">
        <f t="shared" ref="T36:T42" si="6">SUM(U36,V36)</f>
        <v>5</v>
      </c>
      <c r="U36" s="19"/>
      <c r="V36" s="19">
        <v>5</v>
      </c>
      <c r="W36" s="21"/>
      <c r="Y36" s="1"/>
    </row>
    <row r="37" spans="1:27" outlineLevel="1" x14ac:dyDescent="0.2">
      <c r="B37" s="79"/>
      <c r="C37" s="21"/>
      <c r="D37" s="19" t="s">
        <v>40</v>
      </c>
      <c r="E37" s="22"/>
      <c r="F37" s="22">
        <f>MIN(F35,F36)/MAX(F35,F36)</f>
        <v>0.73983739837398377</v>
      </c>
      <c r="G37" s="22">
        <f>MIN(G35,G36)/MAX(G35,G36)</f>
        <v>0.73983739837398377</v>
      </c>
      <c r="H37" s="21"/>
      <c r="I37" s="19">
        <v>3</v>
      </c>
      <c r="J37" s="20">
        <f t="shared" si="4"/>
        <v>3</v>
      </c>
      <c r="K37" s="19"/>
      <c r="L37" s="19">
        <v>3</v>
      </c>
      <c r="M37" s="33"/>
      <c r="N37" s="19">
        <v>3</v>
      </c>
      <c r="O37" s="20">
        <f t="shared" si="5"/>
        <v>4</v>
      </c>
      <c r="P37" s="19"/>
      <c r="Q37" s="19">
        <v>4</v>
      </c>
      <c r="R37" s="21"/>
      <c r="S37" s="19">
        <v>3</v>
      </c>
      <c r="T37" s="20">
        <f t="shared" si="6"/>
        <v>5</v>
      </c>
      <c r="U37" s="19"/>
      <c r="V37" s="19">
        <v>5</v>
      </c>
      <c r="W37" s="21"/>
      <c r="Y37" s="1"/>
    </row>
    <row r="38" spans="1:27" outlineLevel="1" x14ac:dyDescent="0.2">
      <c r="B38" s="37"/>
      <c r="D38" s="38"/>
      <c r="E38" s="38"/>
      <c r="F38" s="38"/>
      <c r="G38" s="38"/>
      <c r="I38" s="20">
        <v>4</v>
      </c>
      <c r="J38" s="20">
        <f t="shared" si="4"/>
        <v>3</v>
      </c>
      <c r="K38" s="19"/>
      <c r="L38" s="19">
        <v>3</v>
      </c>
      <c r="M38" s="33"/>
      <c r="N38" s="20">
        <v>4</v>
      </c>
      <c r="O38" s="20">
        <f t="shared" si="5"/>
        <v>4</v>
      </c>
      <c r="P38" s="19"/>
      <c r="Q38" s="19">
        <v>4</v>
      </c>
      <c r="R38" s="21"/>
      <c r="S38" s="20">
        <v>4</v>
      </c>
      <c r="T38" s="20">
        <f t="shared" si="6"/>
        <v>5</v>
      </c>
      <c r="U38" s="19"/>
      <c r="V38" s="19">
        <v>5</v>
      </c>
      <c r="W38" s="21"/>
      <c r="X38" s="1"/>
      <c r="Y38" s="1"/>
    </row>
    <row r="39" spans="1:27" ht="17" customHeight="1" outlineLevel="1" x14ac:dyDescent="0.2">
      <c r="D39" s="19" t="s">
        <v>0</v>
      </c>
      <c r="E39" s="20" t="s">
        <v>63</v>
      </c>
      <c r="F39" s="20" t="s">
        <v>64</v>
      </c>
      <c r="G39" s="19" t="s">
        <v>37</v>
      </c>
      <c r="H39" s="21"/>
      <c r="I39" s="20">
        <v>5</v>
      </c>
      <c r="J39" s="20">
        <f t="shared" si="4"/>
        <v>3</v>
      </c>
      <c r="K39" s="19"/>
      <c r="L39" s="19">
        <v>3</v>
      </c>
      <c r="M39" s="33"/>
      <c r="N39" s="20">
        <v>5</v>
      </c>
      <c r="O39" s="20">
        <f t="shared" si="5"/>
        <v>4</v>
      </c>
      <c r="P39" s="19"/>
      <c r="Q39" s="19">
        <v>4</v>
      </c>
      <c r="R39" s="21"/>
      <c r="S39" s="20">
        <v>5</v>
      </c>
      <c r="T39" s="20">
        <f t="shared" si="6"/>
        <v>5</v>
      </c>
      <c r="U39" s="19"/>
      <c r="V39" s="19">
        <v>5</v>
      </c>
      <c r="W39" s="21"/>
      <c r="X39" s="1"/>
      <c r="Y39" s="1"/>
    </row>
    <row r="40" spans="1:27" outlineLevel="1" x14ac:dyDescent="0.2">
      <c r="D40" s="19" t="s">
        <v>16</v>
      </c>
      <c r="E40" s="19">
        <f>SUM(P43,K43)</f>
        <v>0</v>
      </c>
      <c r="F40" s="19">
        <f>SUM(Q43,L43)</f>
        <v>59</v>
      </c>
      <c r="G40" s="19">
        <f>SUM(E40:F40)</f>
        <v>59</v>
      </c>
      <c r="H40" s="21"/>
      <c r="I40" s="20">
        <v>6</v>
      </c>
      <c r="J40" s="20">
        <f t="shared" si="4"/>
        <v>3</v>
      </c>
      <c r="K40" s="19"/>
      <c r="L40" s="19">
        <v>3</v>
      </c>
      <c r="M40" s="33"/>
      <c r="N40" s="20">
        <v>6</v>
      </c>
      <c r="O40" s="20">
        <f t="shared" si="5"/>
        <v>4</v>
      </c>
      <c r="P40" s="19"/>
      <c r="Q40" s="19">
        <v>4</v>
      </c>
      <c r="R40" s="21"/>
      <c r="S40" s="20">
        <v>6</v>
      </c>
      <c r="T40" s="20">
        <f t="shared" si="6"/>
        <v>5</v>
      </c>
      <c r="U40" s="19"/>
      <c r="V40" s="19">
        <v>5</v>
      </c>
      <c r="W40" s="21"/>
      <c r="X40" s="1"/>
      <c r="Y40" s="1"/>
    </row>
    <row r="41" spans="1:27" outlineLevel="1" x14ac:dyDescent="0.2">
      <c r="B41" s="2"/>
      <c r="C41" s="1"/>
      <c r="D41" s="19" t="s">
        <v>17</v>
      </c>
      <c r="E41" s="19">
        <v>0</v>
      </c>
      <c r="F41" s="19">
        <v>68</v>
      </c>
      <c r="G41" s="19">
        <f>SUM(E41:F41)</f>
        <v>68</v>
      </c>
      <c r="H41" s="21"/>
      <c r="I41" s="20">
        <v>7</v>
      </c>
      <c r="J41" s="20">
        <f t="shared" si="4"/>
        <v>4</v>
      </c>
      <c r="K41" s="19"/>
      <c r="L41" s="19">
        <v>4</v>
      </c>
      <c r="M41" s="33"/>
      <c r="N41" s="20">
        <v>7</v>
      </c>
      <c r="O41" s="20">
        <f t="shared" si="5"/>
        <v>4</v>
      </c>
      <c r="P41" s="19"/>
      <c r="Q41" s="19">
        <v>4</v>
      </c>
      <c r="R41" s="21"/>
      <c r="S41" s="20">
        <v>7</v>
      </c>
      <c r="T41" s="20">
        <f t="shared" si="6"/>
        <v>5</v>
      </c>
      <c r="U41" s="19"/>
      <c r="V41" s="19">
        <v>5</v>
      </c>
      <c r="W41" s="21"/>
      <c r="X41" s="1"/>
      <c r="Y41" s="1"/>
    </row>
    <row r="42" spans="1:27" x14ac:dyDescent="0.2">
      <c r="A42" s="1"/>
      <c r="B42" s="2"/>
      <c r="C42" s="1"/>
      <c r="D42" s="19" t="s">
        <v>40</v>
      </c>
      <c r="E42" s="22"/>
      <c r="F42" s="22">
        <f>MIN(F40,F41)/MAX(F40,F41)</f>
        <v>0.86764705882352944</v>
      </c>
      <c r="G42" s="22">
        <f>MIN(G40,G41)/MAX(G40,G41)</f>
        <v>0.86764705882352944</v>
      </c>
      <c r="H42" s="21"/>
      <c r="I42" s="19" t="s">
        <v>10</v>
      </c>
      <c r="J42" s="20">
        <f t="shared" si="4"/>
        <v>3</v>
      </c>
      <c r="K42" s="19"/>
      <c r="L42" s="19">
        <v>3</v>
      </c>
      <c r="M42" s="33"/>
      <c r="N42" s="19" t="s">
        <v>10</v>
      </c>
      <c r="O42" s="20">
        <f t="shared" si="5"/>
        <v>5</v>
      </c>
      <c r="P42" s="19"/>
      <c r="Q42" s="19">
        <v>5</v>
      </c>
      <c r="R42" s="21"/>
      <c r="S42" s="19" t="s">
        <v>10</v>
      </c>
      <c r="T42" s="20">
        <f t="shared" si="6"/>
        <v>2</v>
      </c>
      <c r="U42" s="19"/>
      <c r="V42" s="19">
        <v>2</v>
      </c>
      <c r="W42" s="21"/>
      <c r="Y42" s="1"/>
    </row>
    <row r="43" spans="1:27" x14ac:dyDescent="0.2">
      <c r="A43" s="1"/>
      <c r="D43" s="38"/>
      <c r="E43" s="38"/>
      <c r="F43" s="38"/>
      <c r="G43" s="38"/>
      <c r="I43" s="19" t="s">
        <v>13</v>
      </c>
      <c r="J43" s="19">
        <f>(SUM(J35:J42))</f>
        <v>25</v>
      </c>
      <c r="K43" s="19">
        <f>(SUM(K35:K42))</f>
        <v>0</v>
      </c>
      <c r="L43" s="19">
        <f>(SUM(L35:L42))</f>
        <v>25</v>
      </c>
      <c r="M43" s="33"/>
      <c r="N43" s="19" t="s">
        <v>13</v>
      </c>
      <c r="O43" s="19">
        <f>(SUM(O35:O42))</f>
        <v>34</v>
      </c>
      <c r="P43" s="19">
        <f>(SUM(P35:P42))</f>
        <v>0</v>
      </c>
      <c r="Q43" s="19">
        <f>(SUM(Q35:Q42))</f>
        <v>34</v>
      </c>
      <c r="R43" s="21"/>
      <c r="S43" s="19" t="s">
        <v>13</v>
      </c>
      <c r="T43" s="19">
        <f>(SUM(T35:T42))</f>
        <v>32</v>
      </c>
      <c r="U43" s="19">
        <f>(SUM(U35:U42))</f>
        <v>0</v>
      </c>
      <c r="V43" s="19">
        <f>(SUM(V35:V42))</f>
        <v>32</v>
      </c>
      <c r="W43" s="21"/>
    </row>
    <row r="44" spans="1:27" x14ac:dyDescent="0.2">
      <c r="A44" s="1"/>
      <c r="I44" s="38"/>
      <c r="J44" s="38"/>
      <c r="K44" s="38"/>
      <c r="L44" s="38"/>
      <c r="M44" s="1"/>
      <c r="N44" s="38"/>
      <c r="O44" s="38"/>
      <c r="P44" s="38"/>
      <c r="Q44" s="38"/>
      <c r="S44" s="38"/>
      <c r="T44" s="38"/>
      <c r="U44" s="38"/>
      <c r="V44" s="38"/>
    </row>
    <row r="45" spans="1:27" outlineLevel="1" x14ac:dyDescent="0.2"/>
    <row r="46" spans="1:27" ht="16" customHeight="1" outlineLevel="1" x14ac:dyDescent="0.2">
      <c r="B46" s="7">
        <v>66</v>
      </c>
      <c r="I46" s="20" t="s">
        <v>77</v>
      </c>
      <c r="J46" s="20">
        <v>1</v>
      </c>
      <c r="K46" s="20" t="s">
        <v>12</v>
      </c>
      <c r="L46" s="20" t="s">
        <v>14</v>
      </c>
      <c r="M46" s="33"/>
      <c r="N46" s="20" t="s">
        <v>77</v>
      </c>
      <c r="O46" s="20">
        <v>2</v>
      </c>
      <c r="P46" s="20" t="s">
        <v>12</v>
      </c>
      <c r="Q46" s="20" t="s">
        <v>15</v>
      </c>
      <c r="R46" s="21"/>
      <c r="S46" s="1"/>
      <c r="T46" s="1"/>
      <c r="U46" s="1"/>
      <c r="V46" s="1"/>
      <c r="X46" s="1"/>
      <c r="Y46" s="1"/>
      <c r="Z46" s="1"/>
      <c r="AA46" s="1"/>
    </row>
    <row r="47" spans="1:27" outlineLevel="1" x14ac:dyDescent="0.2">
      <c r="I47" s="19" t="s">
        <v>11</v>
      </c>
      <c r="J47" s="35" t="s">
        <v>7</v>
      </c>
      <c r="K47" s="19"/>
      <c r="L47" s="19"/>
      <c r="M47" s="33"/>
      <c r="N47" s="19" t="s">
        <v>11</v>
      </c>
      <c r="O47" s="35" t="s">
        <v>5</v>
      </c>
      <c r="P47" s="19"/>
      <c r="Q47" s="19"/>
      <c r="R47" s="21"/>
    </row>
    <row r="48" spans="1:27" ht="18" customHeight="1" outlineLevel="1" x14ac:dyDescent="0.2">
      <c r="D48" s="19" t="s">
        <v>41</v>
      </c>
      <c r="E48" s="19" t="s">
        <v>60</v>
      </c>
      <c r="F48" s="20" t="s">
        <v>61</v>
      </c>
      <c r="G48" s="19" t="s">
        <v>43</v>
      </c>
      <c r="H48" s="21"/>
      <c r="I48" s="20" t="s">
        <v>9</v>
      </c>
      <c r="J48" s="20" t="s">
        <v>66</v>
      </c>
      <c r="K48" s="20" t="s">
        <v>60</v>
      </c>
      <c r="L48" s="20" t="s">
        <v>62</v>
      </c>
      <c r="M48" s="33"/>
      <c r="N48" s="20" t="s">
        <v>9</v>
      </c>
      <c r="O48" s="20" t="s">
        <v>66</v>
      </c>
      <c r="P48" s="20" t="s">
        <v>60</v>
      </c>
      <c r="Q48" s="20" t="s">
        <v>62</v>
      </c>
      <c r="R48" s="21"/>
      <c r="S48" s="1"/>
      <c r="T48" s="1"/>
      <c r="U48" s="1"/>
      <c r="V48" s="1"/>
      <c r="X48" s="1"/>
      <c r="Y48" s="1"/>
      <c r="Z48" s="1"/>
      <c r="AA48" s="1"/>
    </row>
    <row r="49" spans="1:27" ht="17" customHeight="1" outlineLevel="1" x14ac:dyDescent="0.2">
      <c r="D49" s="19" t="s">
        <v>16</v>
      </c>
      <c r="E49" s="19">
        <f>SUM(K57,P57,U57,Z57)</f>
        <v>0</v>
      </c>
      <c r="F49" s="19">
        <f>SUM(L57,Q57,V57,AA57)</f>
        <v>88</v>
      </c>
      <c r="G49" s="19">
        <f>SUM(E49:F49)</f>
        <v>88</v>
      </c>
      <c r="H49" s="21"/>
      <c r="I49" s="20">
        <v>1</v>
      </c>
      <c r="J49" s="20">
        <f>SUM(K49,L49)</f>
        <v>0</v>
      </c>
      <c r="K49" s="20"/>
      <c r="L49" s="20">
        <v>0</v>
      </c>
      <c r="M49" s="33"/>
      <c r="N49" s="20">
        <v>1</v>
      </c>
      <c r="O49" s="20">
        <f>SUM(P49,Q49)</f>
        <v>4</v>
      </c>
      <c r="P49" s="20"/>
      <c r="Q49" s="20">
        <v>4</v>
      </c>
      <c r="R49" s="21"/>
      <c r="S49" s="1"/>
      <c r="T49" s="1"/>
      <c r="U49" s="1"/>
      <c r="V49" s="1"/>
      <c r="X49" s="1"/>
      <c r="Y49" s="1"/>
      <c r="Z49" s="1"/>
      <c r="AA49" s="1"/>
    </row>
    <row r="50" spans="1:27" outlineLevel="1" x14ac:dyDescent="0.2">
      <c r="D50" s="19" t="s">
        <v>17</v>
      </c>
      <c r="E50" s="19">
        <v>0</v>
      </c>
      <c r="F50" s="19">
        <v>103</v>
      </c>
      <c r="G50" s="19">
        <f>SUM(E50:F50)</f>
        <v>103</v>
      </c>
      <c r="H50" s="21"/>
      <c r="I50" s="19">
        <v>2</v>
      </c>
      <c r="J50" s="20">
        <f t="shared" ref="J50:J56" si="7">SUM(K50,L50)</f>
        <v>7</v>
      </c>
      <c r="K50" s="19"/>
      <c r="L50" s="19">
        <v>7</v>
      </c>
      <c r="M50" s="33"/>
      <c r="N50" s="19">
        <v>2</v>
      </c>
      <c r="O50" s="20">
        <f t="shared" ref="O50:O56" si="8">SUM(P50,Q50)</f>
        <v>4</v>
      </c>
      <c r="P50" s="19"/>
      <c r="Q50" s="19">
        <v>4</v>
      </c>
      <c r="R50" s="21"/>
      <c r="T50" s="1"/>
      <c r="Y50" s="1"/>
    </row>
    <row r="51" spans="1:27" outlineLevel="1" x14ac:dyDescent="0.2">
      <c r="D51" s="19" t="s">
        <v>40</v>
      </c>
      <c r="E51" s="19"/>
      <c r="F51" s="22">
        <f>MIN(F49,F50)/MAX(F49,F50)</f>
        <v>0.85436893203883491</v>
      </c>
      <c r="G51" s="22">
        <f>MIN(G49,G50)/MAX(G49,G50)</f>
        <v>0.85436893203883491</v>
      </c>
      <c r="H51" s="21"/>
      <c r="I51" s="19">
        <v>3</v>
      </c>
      <c r="J51" s="20">
        <f t="shared" si="7"/>
        <v>7</v>
      </c>
      <c r="K51" s="19"/>
      <c r="L51" s="19">
        <v>7</v>
      </c>
      <c r="M51" s="33"/>
      <c r="N51" s="19">
        <v>3</v>
      </c>
      <c r="O51" s="20">
        <f t="shared" si="8"/>
        <v>4</v>
      </c>
      <c r="P51" s="19"/>
      <c r="Q51" s="19">
        <v>4</v>
      </c>
      <c r="R51" s="21"/>
      <c r="T51" s="1"/>
      <c r="Y51" s="1"/>
    </row>
    <row r="52" spans="1:27" outlineLevel="1" x14ac:dyDescent="0.2">
      <c r="D52" s="38"/>
      <c r="E52" s="38"/>
      <c r="F52" s="38"/>
      <c r="G52" s="38"/>
      <c r="I52" s="20">
        <v>4</v>
      </c>
      <c r="J52" s="20">
        <f t="shared" si="7"/>
        <v>7</v>
      </c>
      <c r="K52" s="19"/>
      <c r="L52" s="19">
        <v>7</v>
      </c>
      <c r="M52" s="33"/>
      <c r="N52" s="20">
        <v>4</v>
      </c>
      <c r="O52" s="20">
        <f t="shared" si="8"/>
        <v>4</v>
      </c>
      <c r="P52" s="19"/>
      <c r="Q52" s="19">
        <v>4</v>
      </c>
      <c r="R52" s="21"/>
      <c r="S52" s="1"/>
      <c r="T52" s="1"/>
      <c r="X52" s="1"/>
      <c r="Y52" s="1"/>
    </row>
    <row r="53" spans="1:27" ht="18" customHeight="1" outlineLevel="1" x14ac:dyDescent="0.2">
      <c r="D53" s="19" t="s">
        <v>0</v>
      </c>
      <c r="E53" s="20" t="s">
        <v>63</v>
      </c>
      <c r="F53" s="20" t="s">
        <v>64</v>
      </c>
      <c r="G53" s="19" t="s">
        <v>37</v>
      </c>
      <c r="H53" s="21"/>
      <c r="I53" s="20">
        <v>5</v>
      </c>
      <c r="J53" s="20">
        <f t="shared" si="7"/>
        <v>7</v>
      </c>
      <c r="K53" s="19"/>
      <c r="L53" s="19">
        <v>7</v>
      </c>
      <c r="M53" s="33"/>
      <c r="N53" s="20">
        <v>5</v>
      </c>
      <c r="O53" s="20">
        <f t="shared" si="8"/>
        <v>4</v>
      </c>
      <c r="P53" s="19"/>
      <c r="Q53" s="19">
        <v>4</v>
      </c>
      <c r="R53" s="21"/>
      <c r="S53" s="1"/>
      <c r="T53" s="1"/>
      <c r="X53" s="1"/>
      <c r="Y53" s="1"/>
    </row>
    <row r="54" spans="1:27" outlineLevel="1" x14ac:dyDescent="0.2">
      <c r="D54" s="19" t="s">
        <v>16</v>
      </c>
      <c r="E54" s="19">
        <f>SUM(P57,)</f>
        <v>0</v>
      </c>
      <c r="F54" s="19">
        <f>SUM(Q57,)</f>
        <v>30</v>
      </c>
      <c r="G54" s="19">
        <f>SUM(E54:F54)</f>
        <v>30</v>
      </c>
      <c r="H54" s="21"/>
      <c r="I54" s="20">
        <v>6</v>
      </c>
      <c r="J54" s="20">
        <f t="shared" si="7"/>
        <v>13</v>
      </c>
      <c r="K54" s="19"/>
      <c r="L54" s="19">
        <v>13</v>
      </c>
      <c r="M54" s="33"/>
      <c r="N54" s="20">
        <v>6</v>
      </c>
      <c r="O54" s="20">
        <f t="shared" si="8"/>
        <v>4</v>
      </c>
      <c r="P54" s="19"/>
      <c r="Q54" s="19">
        <v>4</v>
      </c>
      <c r="R54" s="21"/>
      <c r="S54" s="1"/>
      <c r="T54" s="1"/>
      <c r="X54" s="1"/>
      <c r="Y54" s="1"/>
    </row>
    <row r="55" spans="1:27" outlineLevel="1" x14ac:dyDescent="0.2">
      <c r="D55" s="19" t="s">
        <v>17</v>
      </c>
      <c r="E55" s="19">
        <v>0</v>
      </c>
      <c r="F55" s="19">
        <v>34</v>
      </c>
      <c r="G55" s="19">
        <f>SUM(E55:F55)</f>
        <v>34</v>
      </c>
      <c r="H55" s="21"/>
      <c r="I55" s="20">
        <v>7</v>
      </c>
      <c r="J55" s="20">
        <f t="shared" si="7"/>
        <v>3</v>
      </c>
      <c r="K55" s="19"/>
      <c r="L55" s="19">
        <v>3</v>
      </c>
      <c r="M55" s="33"/>
      <c r="N55" s="20">
        <v>7</v>
      </c>
      <c r="O55" s="20">
        <f t="shared" si="8"/>
        <v>0</v>
      </c>
      <c r="P55" s="19"/>
      <c r="Q55" s="19"/>
      <c r="R55" s="21"/>
      <c r="S55" s="1"/>
      <c r="T55" s="1"/>
      <c r="X55" s="1"/>
      <c r="Y55" s="1"/>
    </row>
    <row r="56" spans="1:27" x14ac:dyDescent="0.2">
      <c r="D56" s="19" t="s">
        <v>40</v>
      </c>
      <c r="E56" s="22"/>
      <c r="F56" s="22">
        <f>MIN(F54,F55)/MAX(F54,F55)</f>
        <v>0.88235294117647056</v>
      </c>
      <c r="G56" s="22">
        <f>MIN(G54,G55)/MAX(G54,G55)</f>
        <v>0.88235294117647056</v>
      </c>
      <c r="H56" s="21"/>
      <c r="I56" s="19" t="s">
        <v>10</v>
      </c>
      <c r="J56" s="20">
        <f t="shared" si="7"/>
        <v>14</v>
      </c>
      <c r="K56" s="19"/>
      <c r="L56" s="19">
        <v>14</v>
      </c>
      <c r="M56" s="33"/>
      <c r="N56" s="19" t="s">
        <v>10</v>
      </c>
      <c r="O56" s="20">
        <f t="shared" si="8"/>
        <v>6</v>
      </c>
      <c r="P56" s="19"/>
      <c r="Q56" s="19">
        <v>6</v>
      </c>
      <c r="R56" s="21"/>
      <c r="T56" s="1"/>
      <c r="Y56" s="1"/>
    </row>
    <row r="57" spans="1:27" x14ac:dyDescent="0.2">
      <c r="D57" s="38"/>
      <c r="E57" s="38"/>
      <c r="F57" s="38"/>
      <c r="G57" s="38"/>
      <c r="I57" s="19" t="s">
        <v>13</v>
      </c>
      <c r="J57" s="19">
        <f>(SUM(J49:J56))</f>
        <v>58</v>
      </c>
      <c r="K57" s="19">
        <f>(SUM(K49:K56))</f>
        <v>0</v>
      </c>
      <c r="L57" s="19">
        <f>(SUM(L49:L56))</f>
        <v>58</v>
      </c>
      <c r="M57" s="33"/>
      <c r="N57" s="19" t="s">
        <v>13</v>
      </c>
      <c r="O57" s="19">
        <f>(SUM(O49:O56))</f>
        <v>30</v>
      </c>
      <c r="P57" s="19">
        <f>(SUM(P49:P56))</f>
        <v>0</v>
      </c>
      <c r="Q57" s="19">
        <f>(SUM(Q49:Q56))</f>
        <v>30</v>
      </c>
      <c r="R57" s="21"/>
    </row>
    <row r="58" spans="1:27" x14ac:dyDescent="0.2">
      <c r="I58" s="38"/>
      <c r="J58" s="38"/>
      <c r="K58" s="38"/>
      <c r="L58" s="38"/>
      <c r="M58" s="1"/>
      <c r="N58" s="38"/>
      <c r="O58" s="38"/>
      <c r="P58" s="38"/>
      <c r="Q58" s="38"/>
    </row>
    <row r="59" spans="1:27" outlineLevel="1" x14ac:dyDescent="0.2"/>
    <row r="60" spans="1:27" ht="20" customHeight="1" outlineLevel="1" x14ac:dyDescent="0.2">
      <c r="A60" s="1" t="s">
        <v>4</v>
      </c>
      <c r="B60" s="7">
        <v>34</v>
      </c>
      <c r="I60" s="20" t="s">
        <v>77</v>
      </c>
      <c r="J60" s="20">
        <v>1</v>
      </c>
      <c r="K60" s="20" t="s">
        <v>12</v>
      </c>
      <c r="L60" s="20" t="s">
        <v>14</v>
      </c>
      <c r="M60" s="33"/>
      <c r="N60" s="20" t="s">
        <v>77</v>
      </c>
      <c r="O60" s="20">
        <v>2</v>
      </c>
      <c r="P60" s="20" t="s">
        <v>12</v>
      </c>
      <c r="Q60" s="20" t="s">
        <v>15</v>
      </c>
      <c r="R60" s="21"/>
      <c r="S60" s="1"/>
      <c r="T60" s="1"/>
      <c r="U60" s="1"/>
      <c r="V60" s="1"/>
      <c r="X60" s="1"/>
      <c r="Y60" s="1"/>
      <c r="Z60" s="1"/>
      <c r="AA60" s="1"/>
    </row>
    <row r="61" spans="1:27" outlineLevel="1" x14ac:dyDescent="0.2">
      <c r="I61" s="19" t="s">
        <v>11</v>
      </c>
      <c r="J61" s="35" t="s">
        <v>6</v>
      </c>
      <c r="K61" s="19"/>
      <c r="L61" s="19"/>
      <c r="M61" s="33"/>
      <c r="N61" s="19" t="s">
        <v>11</v>
      </c>
      <c r="O61" s="35" t="s">
        <v>8</v>
      </c>
      <c r="P61" s="19"/>
      <c r="Q61" s="19"/>
      <c r="R61" s="21"/>
    </row>
    <row r="62" spans="1:27" ht="17" customHeight="1" outlineLevel="1" x14ac:dyDescent="0.2">
      <c r="D62" s="19" t="s">
        <v>41</v>
      </c>
      <c r="E62" s="19" t="s">
        <v>60</v>
      </c>
      <c r="F62" s="20" t="s">
        <v>61</v>
      </c>
      <c r="G62" s="19" t="s">
        <v>43</v>
      </c>
      <c r="H62" s="21"/>
      <c r="I62" s="20" t="s">
        <v>9</v>
      </c>
      <c r="J62" s="20" t="s">
        <v>66</v>
      </c>
      <c r="K62" s="20" t="s">
        <v>60</v>
      </c>
      <c r="L62" s="20" t="s">
        <v>62</v>
      </c>
      <c r="M62" s="33"/>
      <c r="N62" s="20" t="s">
        <v>9</v>
      </c>
      <c r="O62" s="20" t="s">
        <v>66</v>
      </c>
      <c r="P62" s="20" t="s">
        <v>60</v>
      </c>
      <c r="Q62" s="20" t="s">
        <v>62</v>
      </c>
      <c r="R62" s="21"/>
      <c r="S62" s="1"/>
      <c r="T62" s="1"/>
      <c r="U62" s="1"/>
      <c r="V62" s="1"/>
      <c r="X62" s="1"/>
      <c r="Y62" s="1"/>
      <c r="Z62" s="1"/>
      <c r="AA62" s="1"/>
    </row>
    <row r="63" spans="1:27" outlineLevel="1" x14ac:dyDescent="0.2">
      <c r="D63" s="19" t="s">
        <v>16</v>
      </c>
      <c r="E63" s="19">
        <f>SUM(K71,P71,U71,Z71)</f>
        <v>0</v>
      </c>
      <c r="F63" s="19">
        <f>SUM(L71,Q71,V71,AA71)</f>
        <v>61</v>
      </c>
      <c r="G63" s="19">
        <f>SUM(E63:F63)</f>
        <v>61</v>
      </c>
      <c r="H63" s="21"/>
      <c r="I63" s="20">
        <v>1</v>
      </c>
      <c r="J63" s="20">
        <f>SUM(K63,L63)</f>
        <v>4</v>
      </c>
      <c r="K63" s="20"/>
      <c r="L63" s="20">
        <v>4</v>
      </c>
      <c r="M63" s="33"/>
      <c r="N63" s="20">
        <v>1</v>
      </c>
      <c r="O63" s="20">
        <f>SUM(P63,Q63)</f>
        <v>4</v>
      </c>
      <c r="P63" s="20"/>
      <c r="Q63" s="20">
        <v>4</v>
      </c>
      <c r="R63" s="21"/>
      <c r="S63" s="1"/>
      <c r="T63" s="1"/>
      <c r="U63" s="1"/>
      <c r="V63" s="1"/>
      <c r="X63" s="1"/>
      <c r="Y63" s="1"/>
      <c r="Z63" s="1"/>
      <c r="AA63" s="1"/>
    </row>
    <row r="64" spans="1:27" outlineLevel="1" x14ac:dyDescent="0.2">
      <c r="D64" s="19" t="s">
        <v>17</v>
      </c>
      <c r="E64" s="19">
        <v>0</v>
      </c>
      <c r="F64" s="19">
        <v>27.2</v>
      </c>
      <c r="G64" s="19">
        <f>SUM(E64:F64)</f>
        <v>27.2</v>
      </c>
      <c r="H64" s="21"/>
      <c r="I64" s="19">
        <v>2</v>
      </c>
      <c r="J64" s="20">
        <f t="shared" ref="J64:J70" si="9">SUM(K64,L64)</f>
        <v>4</v>
      </c>
      <c r="K64" s="19"/>
      <c r="L64" s="19">
        <v>4</v>
      </c>
      <c r="M64" s="33"/>
      <c r="N64" s="19">
        <v>2</v>
      </c>
      <c r="O64" s="20">
        <f t="shared" ref="O64:O70" si="10">SUM(P64,Q64)</f>
        <v>3</v>
      </c>
      <c r="P64" s="19"/>
      <c r="Q64" s="19">
        <v>3</v>
      </c>
      <c r="R64" s="21"/>
      <c r="T64" s="1"/>
      <c r="Y64" s="1"/>
    </row>
    <row r="65" spans="2:27" outlineLevel="1" x14ac:dyDescent="0.2">
      <c r="D65" s="19" t="s">
        <v>40</v>
      </c>
      <c r="E65" s="19"/>
      <c r="F65" s="22">
        <f>MIN(F63,F64)/MAX(F63,F64)</f>
        <v>0.4459016393442623</v>
      </c>
      <c r="G65" s="22">
        <f>MIN(G63,G64)/MAX(G63,G64)</f>
        <v>0.4459016393442623</v>
      </c>
      <c r="H65" s="21"/>
      <c r="I65" s="19">
        <v>3</v>
      </c>
      <c r="J65" s="20">
        <f t="shared" si="9"/>
        <v>5</v>
      </c>
      <c r="K65" s="19"/>
      <c r="L65" s="19">
        <v>5</v>
      </c>
      <c r="M65" s="33"/>
      <c r="N65" s="19">
        <v>3</v>
      </c>
      <c r="O65" s="20">
        <f t="shared" si="10"/>
        <v>5</v>
      </c>
      <c r="P65" s="19"/>
      <c r="Q65" s="19">
        <v>5</v>
      </c>
      <c r="R65" s="21"/>
      <c r="T65" s="1"/>
      <c r="Y65" s="1"/>
    </row>
    <row r="66" spans="2:27" outlineLevel="1" x14ac:dyDescent="0.2">
      <c r="D66" s="38"/>
      <c r="E66" s="38"/>
      <c r="F66" s="38"/>
      <c r="G66" s="38"/>
      <c r="I66" s="20">
        <v>4</v>
      </c>
      <c r="J66" s="20">
        <f t="shared" si="9"/>
        <v>5</v>
      </c>
      <c r="K66" s="19"/>
      <c r="L66" s="19">
        <v>5</v>
      </c>
      <c r="M66" s="33"/>
      <c r="N66" s="20">
        <v>4</v>
      </c>
      <c r="O66" s="20">
        <f t="shared" si="10"/>
        <v>5</v>
      </c>
      <c r="P66" s="19"/>
      <c r="Q66" s="19">
        <v>5</v>
      </c>
      <c r="R66" s="21"/>
      <c r="S66" s="1"/>
      <c r="T66" s="1"/>
      <c r="X66" s="1"/>
      <c r="Y66" s="1"/>
    </row>
    <row r="67" spans="2:27" ht="18" customHeight="1" outlineLevel="1" x14ac:dyDescent="0.2">
      <c r="D67" s="19" t="s">
        <v>0</v>
      </c>
      <c r="E67" s="20" t="s">
        <v>63</v>
      </c>
      <c r="F67" s="20" t="s">
        <v>64</v>
      </c>
      <c r="G67" s="19" t="s">
        <v>37</v>
      </c>
      <c r="H67" s="21"/>
      <c r="I67" s="20">
        <v>5</v>
      </c>
      <c r="J67" s="20">
        <f t="shared" si="9"/>
        <v>5</v>
      </c>
      <c r="K67" s="19"/>
      <c r="L67" s="19">
        <v>5</v>
      </c>
      <c r="M67" s="33"/>
      <c r="N67" s="20">
        <v>5</v>
      </c>
      <c r="O67" s="20">
        <f t="shared" si="10"/>
        <v>3</v>
      </c>
      <c r="P67" s="19"/>
      <c r="Q67" s="19">
        <v>3</v>
      </c>
      <c r="R67" s="21"/>
      <c r="S67" s="1"/>
      <c r="T67" s="1"/>
      <c r="X67" s="1"/>
      <c r="Y67" s="1"/>
    </row>
    <row r="68" spans="2:27" x14ac:dyDescent="0.2">
      <c r="D68" s="19" t="s">
        <v>16</v>
      </c>
      <c r="E68" s="19">
        <f>SUM(P71)</f>
        <v>0</v>
      </c>
      <c r="F68" s="19">
        <f>SUM(Q71)</f>
        <v>28</v>
      </c>
      <c r="G68" s="19">
        <f>SUM(E68:F68)</f>
        <v>28</v>
      </c>
      <c r="H68" s="21"/>
      <c r="I68" s="20">
        <v>6</v>
      </c>
      <c r="J68" s="20">
        <f t="shared" si="9"/>
        <v>5</v>
      </c>
      <c r="K68" s="19"/>
      <c r="L68" s="19">
        <v>5</v>
      </c>
      <c r="M68" s="33"/>
      <c r="N68" s="20">
        <v>6</v>
      </c>
      <c r="O68" s="20">
        <f t="shared" si="10"/>
        <v>5</v>
      </c>
      <c r="P68" s="19"/>
      <c r="Q68" s="19">
        <v>5</v>
      </c>
      <c r="R68" s="21"/>
      <c r="S68" s="1"/>
      <c r="T68" s="1"/>
      <c r="X68" s="1"/>
      <c r="Y68" s="1"/>
    </row>
    <row r="69" spans="2:27" x14ac:dyDescent="0.2">
      <c r="D69" s="19" t="s">
        <v>17</v>
      </c>
      <c r="E69" s="19">
        <v>0</v>
      </c>
      <c r="F69" s="19">
        <v>11</v>
      </c>
      <c r="G69" s="19">
        <f>SUM(E69:F69)</f>
        <v>11</v>
      </c>
      <c r="H69" s="21"/>
      <c r="I69" s="20">
        <v>7</v>
      </c>
      <c r="J69" s="20">
        <f t="shared" si="9"/>
        <v>0</v>
      </c>
      <c r="K69" s="19"/>
      <c r="L69" s="19"/>
      <c r="M69" s="33"/>
      <c r="N69" s="20">
        <v>7</v>
      </c>
      <c r="O69" s="20">
        <f t="shared" si="10"/>
        <v>3</v>
      </c>
      <c r="P69" s="19"/>
      <c r="Q69" s="19">
        <v>3</v>
      </c>
      <c r="R69" s="21"/>
      <c r="S69" s="1"/>
      <c r="T69" s="1"/>
      <c r="X69" s="1"/>
      <c r="Y69" s="1"/>
    </row>
    <row r="70" spans="2:27" x14ac:dyDescent="0.2">
      <c r="B70" s="58" t="s">
        <v>49</v>
      </c>
      <c r="C70" s="21"/>
      <c r="D70" s="19" t="s">
        <v>40</v>
      </c>
      <c r="E70" s="22"/>
      <c r="F70" s="22">
        <f>MIN(F68,F69)/MAX(F68,F69)</f>
        <v>0.39285714285714285</v>
      </c>
      <c r="G70" s="22">
        <f>MIN(G68,G69)/MAX(G68,G69)</f>
        <v>0.39285714285714285</v>
      </c>
      <c r="H70" s="21"/>
      <c r="I70" s="19" t="s">
        <v>10</v>
      </c>
      <c r="J70" s="20">
        <f t="shared" si="9"/>
        <v>5</v>
      </c>
      <c r="K70" s="19"/>
      <c r="L70" s="19">
        <v>5</v>
      </c>
      <c r="M70" s="33"/>
      <c r="N70" s="19" t="s">
        <v>10</v>
      </c>
      <c r="O70" s="20">
        <f t="shared" si="10"/>
        <v>0</v>
      </c>
      <c r="P70" s="19"/>
      <c r="Q70" s="19"/>
      <c r="R70" s="21"/>
      <c r="T70" s="1"/>
      <c r="Y70" s="1"/>
    </row>
    <row r="71" spans="2:27" outlineLevel="1" x14ac:dyDescent="0.2">
      <c r="B71" s="37"/>
      <c r="D71" s="38"/>
      <c r="E71" s="38"/>
      <c r="F71" s="38"/>
      <c r="G71" s="38"/>
      <c r="I71" s="19" t="s">
        <v>13</v>
      </c>
      <c r="J71" s="19">
        <f>(SUM(J63:J70))</f>
        <v>33</v>
      </c>
      <c r="K71" s="19">
        <f>(SUM(K63:K70))</f>
        <v>0</v>
      </c>
      <c r="L71" s="19">
        <f>(SUM(L63:L70))</f>
        <v>33</v>
      </c>
      <c r="M71" s="33"/>
      <c r="N71" s="19" t="s">
        <v>13</v>
      </c>
      <c r="O71" s="19">
        <f>(SUM(O63:O70))</f>
        <v>28</v>
      </c>
      <c r="P71" s="19">
        <f>(SUM(P63:P70))</f>
        <v>0</v>
      </c>
      <c r="Q71" s="19">
        <f>(SUM(Q63:Q70))</f>
        <v>28</v>
      </c>
      <c r="R71" s="21"/>
    </row>
    <row r="72" spans="2:27" outlineLevel="1" x14ac:dyDescent="0.2">
      <c r="I72" s="38"/>
      <c r="J72" s="38"/>
      <c r="K72" s="38"/>
      <c r="L72" s="38"/>
      <c r="M72" s="1"/>
      <c r="N72" s="38"/>
      <c r="O72" s="38"/>
      <c r="P72" s="38"/>
      <c r="Q72" s="38"/>
    </row>
    <row r="73" spans="2:27" outlineLevel="1" x14ac:dyDescent="0.2"/>
    <row r="74" spans="2:27" ht="17" customHeight="1" outlineLevel="1" x14ac:dyDescent="0.2">
      <c r="B74" s="7">
        <v>32</v>
      </c>
      <c r="I74" s="20" t="s">
        <v>77</v>
      </c>
      <c r="J74" s="20">
        <v>1</v>
      </c>
      <c r="K74" s="20" t="s">
        <v>12</v>
      </c>
      <c r="L74" s="20" t="s">
        <v>14</v>
      </c>
      <c r="M74" s="33"/>
      <c r="N74" s="20" t="s">
        <v>77</v>
      </c>
      <c r="O74" s="20">
        <v>2</v>
      </c>
      <c r="P74" s="20" t="s">
        <v>12</v>
      </c>
      <c r="Q74" s="20" t="s">
        <v>15</v>
      </c>
      <c r="R74" s="21"/>
      <c r="S74" s="1"/>
      <c r="T74" s="1"/>
      <c r="U74" s="1"/>
      <c r="V74" s="1"/>
      <c r="X74" s="1"/>
      <c r="Y74" s="1"/>
      <c r="Z74" s="1"/>
      <c r="AA74" s="1"/>
    </row>
    <row r="75" spans="2:27" outlineLevel="1" x14ac:dyDescent="0.2">
      <c r="I75" s="19" t="s">
        <v>11</v>
      </c>
      <c r="J75" s="35" t="s">
        <v>6</v>
      </c>
      <c r="K75" s="19"/>
      <c r="L75" s="19"/>
      <c r="M75" s="33"/>
      <c r="N75" s="19" t="s">
        <v>11</v>
      </c>
      <c r="O75" s="35" t="s">
        <v>8</v>
      </c>
      <c r="P75" s="19"/>
      <c r="Q75" s="19"/>
      <c r="R75" s="21"/>
    </row>
    <row r="76" spans="2:27" ht="16" customHeight="1" outlineLevel="1" x14ac:dyDescent="0.2">
      <c r="D76" s="19" t="s">
        <v>41</v>
      </c>
      <c r="E76" s="19" t="s">
        <v>60</v>
      </c>
      <c r="F76" s="20" t="s">
        <v>61</v>
      </c>
      <c r="G76" s="19" t="s">
        <v>43</v>
      </c>
      <c r="H76" s="21"/>
      <c r="I76" s="20" t="s">
        <v>9</v>
      </c>
      <c r="J76" s="20" t="s">
        <v>66</v>
      </c>
      <c r="K76" s="20" t="s">
        <v>60</v>
      </c>
      <c r="L76" s="20" t="s">
        <v>62</v>
      </c>
      <c r="M76" s="33"/>
      <c r="N76" s="20" t="s">
        <v>9</v>
      </c>
      <c r="O76" s="20" t="s">
        <v>66</v>
      </c>
      <c r="P76" s="20" t="s">
        <v>60</v>
      </c>
      <c r="Q76" s="20" t="s">
        <v>62</v>
      </c>
      <c r="R76" s="21"/>
      <c r="S76" s="1"/>
      <c r="T76" s="1"/>
      <c r="U76" s="1"/>
      <c r="V76" s="1"/>
      <c r="X76" s="1"/>
      <c r="Y76" s="1"/>
      <c r="Z76" s="1"/>
      <c r="AA76" s="1"/>
    </row>
    <row r="77" spans="2:27" outlineLevel="1" x14ac:dyDescent="0.2">
      <c r="D77" s="19" t="s">
        <v>16</v>
      </c>
      <c r="E77" s="19">
        <f>SUM(K85,P85,U85,Z85)</f>
        <v>0</v>
      </c>
      <c r="F77" s="19">
        <f>SUM(L85,Q85,V85,AA85)</f>
        <v>63</v>
      </c>
      <c r="G77" s="19">
        <f>SUM(E77:F77)</f>
        <v>63</v>
      </c>
      <c r="H77" s="21"/>
      <c r="I77" s="20">
        <v>1</v>
      </c>
      <c r="J77" s="20">
        <f>SUM(K77,L77)</f>
        <v>4</v>
      </c>
      <c r="K77" s="20"/>
      <c r="L77" s="20">
        <v>4</v>
      </c>
      <c r="M77" s="33"/>
      <c r="N77" s="20">
        <v>1</v>
      </c>
      <c r="O77" s="20">
        <f>SUM(P77,Q77)</f>
        <v>5</v>
      </c>
      <c r="P77" s="20"/>
      <c r="Q77" s="20">
        <v>5</v>
      </c>
      <c r="R77" s="21"/>
      <c r="S77" s="1"/>
      <c r="T77" s="1"/>
      <c r="U77" s="1"/>
      <c r="V77" s="1"/>
      <c r="X77" s="1"/>
      <c r="Y77" s="1"/>
      <c r="Z77" s="1"/>
      <c r="AA77" s="1"/>
    </row>
    <row r="78" spans="2:27" outlineLevel="1" x14ac:dyDescent="0.2">
      <c r="B78" s="79" t="s">
        <v>67</v>
      </c>
      <c r="C78" s="21"/>
      <c r="D78" s="19" t="s">
        <v>17</v>
      </c>
      <c r="E78" s="19">
        <v>0</v>
      </c>
      <c r="F78" s="19">
        <v>146</v>
      </c>
      <c r="G78" s="19">
        <f>SUM(E78:F78)</f>
        <v>146</v>
      </c>
      <c r="H78" s="21"/>
      <c r="I78" s="19">
        <v>2</v>
      </c>
      <c r="J78" s="20">
        <f t="shared" ref="J78:J84" si="11">SUM(K78,L78)</f>
        <v>4</v>
      </c>
      <c r="K78" s="19"/>
      <c r="L78" s="19">
        <v>4</v>
      </c>
      <c r="M78" s="33"/>
      <c r="N78" s="19">
        <v>2</v>
      </c>
      <c r="O78" s="20">
        <f t="shared" ref="O78:O84" si="12">SUM(P78,Q78)</f>
        <v>4</v>
      </c>
      <c r="P78" s="19"/>
      <c r="Q78" s="19">
        <v>4</v>
      </c>
      <c r="R78" s="21"/>
      <c r="T78" s="1"/>
      <c r="Y78" s="1"/>
    </row>
    <row r="79" spans="2:27" outlineLevel="1" x14ac:dyDescent="0.2">
      <c r="B79" s="79"/>
      <c r="C79" s="21"/>
      <c r="D79" s="19" t="s">
        <v>40</v>
      </c>
      <c r="E79" s="19"/>
      <c r="F79" s="22">
        <f>MIN(F77,F78)/MAX(F77,F78)</f>
        <v>0.4315068493150685</v>
      </c>
      <c r="G79" s="22">
        <f>MIN(G77,G78)/MAX(G77,G78)</f>
        <v>0.4315068493150685</v>
      </c>
      <c r="H79" s="21"/>
      <c r="I79" s="19">
        <v>3</v>
      </c>
      <c r="J79" s="20">
        <f t="shared" si="11"/>
        <v>4</v>
      </c>
      <c r="K79" s="19"/>
      <c r="L79" s="19">
        <v>4</v>
      </c>
      <c r="M79" s="33"/>
      <c r="N79" s="19">
        <v>3</v>
      </c>
      <c r="O79" s="20">
        <f t="shared" si="12"/>
        <v>4</v>
      </c>
      <c r="P79" s="19"/>
      <c r="Q79" s="19">
        <v>4</v>
      </c>
      <c r="R79" s="21"/>
      <c r="T79" s="1"/>
      <c r="Y79" s="1"/>
    </row>
    <row r="80" spans="2:27" ht="16" customHeight="1" outlineLevel="1" x14ac:dyDescent="0.2">
      <c r="B80" s="37"/>
      <c r="D80" s="38"/>
      <c r="E80" s="38"/>
      <c r="F80" s="38"/>
      <c r="G80" s="38"/>
      <c r="I80" s="20">
        <v>4</v>
      </c>
      <c r="J80" s="20">
        <f t="shared" si="11"/>
        <v>4</v>
      </c>
      <c r="K80" s="19"/>
      <c r="L80" s="19">
        <v>4</v>
      </c>
      <c r="M80" s="33"/>
      <c r="N80" s="20">
        <v>4</v>
      </c>
      <c r="O80" s="20">
        <f t="shared" si="12"/>
        <v>4</v>
      </c>
      <c r="P80" s="19"/>
      <c r="Q80" s="19">
        <v>4</v>
      </c>
      <c r="R80" s="21"/>
      <c r="S80" s="1"/>
      <c r="T80" s="1"/>
      <c r="X80" s="1"/>
      <c r="Y80" s="1"/>
    </row>
    <row r="81" spans="2:27" ht="16" customHeight="1" outlineLevel="1" x14ac:dyDescent="0.2">
      <c r="D81" s="19" t="s">
        <v>0</v>
      </c>
      <c r="E81" s="20" t="s">
        <v>63</v>
      </c>
      <c r="F81" s="20" t="s">
        <v>64</v>
      </c>
      <c r="G81" s="19" t="s">
        <v>37</v>
      </c>
      <c r="H81" s="21"/>
      <c r="I81" s="20">
        <v>5</v>
      </c>
      <c r="J81" s="20">
        <f t="shared" si="11"/>
        <v>4</v>
      </c>
      <c r="K81" s="19"/>
      <c r="L81" s="19">
        <v>4</v>
      </c>
      <c r="M81" s="33"/>
      <c r="N81" s="20">
        <v>5</v>
      </c>
      <c r="O81" s="20">
        <f t="shared" si="12"/>
        <v>4</v>
      </c>
      <c r="P81" s="19"/>
      <c r="Q81" s="19">
        <v>4</v>
      </c>
      <c r="R81" s="21"/>
      <c r="S81" s="1"/>
      <c r="T81" s="1"/>
      <c r="X81" s="1"/>
      <c r="Y81" s="1"/>
    </row>
    <row r="82" spans="2:27" outlineLevel="1" x14ac:dyDescent="0.2">
      <c r="D82" s="19" t="s">
        <v>16</v>
      </c>
      <c r="E82" s="19">
        <f>SUM(P85)</f>
        <v>0</v>
      </c>
      <c r="F82" s="19">
        <f>SUM(Q85)</f>
        <v>32</v>
      </c>
      <c r="G82" s="19">
        <f>SUM(E82:F82)</f>
        <v>32</v>
      </c>
      <c r="H82" s="21"/>
      <c r="I82" s="20">
        <v>6</v>
      </c>
      <c r="J82" s="20">
        <f t="shared" si="11"/>
        <v>4</v>
      </c>
      <c r="K82" s="19"/>
      <c r="L82" s="19">
        <v>4</v>
      </c>
      <c r="M82" s="33"/>
      <c r="N82" s="20">
        <v>6</v>
      </c>
      <c r="O82" s="20">
        <f t="shared" si="12"/>
        <v>4</v>
      </c>
      <c r="P82" s="19"/>
      <c r="Q82" s="19">
        <v>4</v>
      </c>
      <c r="R82" s="21"/>
      <c r="S82" s="1"/>
      <c r="T82" s="1"/>
      <c r="X82" s="1"/>
      <c r="Y82" s="1"/>
    </row>
    <row r="83" spans="2:27" x14ac:dyDescent="0.2">
      <c r="D83" s="19" t="s">
        <v>17</v>
      </c>
      <c r="E83" s="19">
        <v>0</v>
      </c>
      <c r="F83" s="19">
        <v>26</v>
      </c>
      <c r="G83" s="19">
        <f>SUM(E83:F83)</f>
        <v>26</v>
      </c>
      <c r="H83" s="21"/>
      <c r="I83" s="20">
        <v>7</v>
      </c>
      <c r="J83" s="20">
        <f t="shared" si="11"/>
        <v>4</v>
      </c>
      <c r="K83" s="19"/>
      <c r="L83" s="19">
        <v>4</v>
      </c>
      <c r="M83" s="33"/>
      <c r="N83" s="20">
        <v>7</v>
      </c>
      <c r="O83" s="20">
        <f t="shared" si="12"/>
        <v>4</v>
      </c>
      <c r="P83" s="19"/>
      <c r="Q83" s="19">
        <v>4</v>
      </c>
      <c r="R83" s="21"/>
      <c r="S83" s="1"/>
      <c r="T83" s="1"/>
      <c r="X83" s="1"/>
      <c r="Y83" s="1"/>
    </row>
    <row r="84" spans="2:27" x14ac:dyDescent="0.2">
      <c r="D84" s="19" t="s">
        <v>40</v>
      </c>
      <c r="E84" s="22"/>
      <c r="F84" s="22">
        <f>MIN(F82,F83)/MAX(F82,F83)</f>
        <v>0.8125</v>
      </c>
      <c r="G84" s="22">
        <f>MIN(G82,G83)/MAX(G82,G83)</f>
        <v>0.8125</v>
      </c>
      <c r="H84" s="21"/>
      <c r="I84" s="19" t="s">
        <v>10</v>
      </c>
      <c r="J84" s="20">
        <f t="shared" si="11"/>
        <v>3</v>
      </c>
      <c r="K84" s="19"/>
      <c r="L84" s="19">
        <v>3</v>
      </c>
      <c r="M84" s="33"/>
      <c r="N84" s="19" t="s">
        <v>10</v>
      </c>
      <c r="O84" s="20">
        <f t="shared" si="12"/>
        <v>3</v>
      </c>
      <c r="P84" s="19"/>
      <c r="Q84" s="19">
        <v>3</v>
      </c>
      <c r="R84" s="21"/>
      <c r="T84" s="1"/>
      <c r="Y84" s="1"/>
    </row>
    <row r="85" spans="2:27" x14ac:dyDescent="0.2">
      <c r="D85" s="38"/>
      <c r="E85" s="38"/>
      <c r="F85" s="38"/>
      <c r="G85" s="38"/>
      <c r="I85" s="19" t="s">
        <v>13</v>
      </c>
      <c r="J85" s="19">
        <f>(SUM(J77:J84))</f>
        <v>31</v>
      </c>
      <c r="K85" s="19">
        <f>(SUM(K77:K84))</f>
        <v>0</v>
      </c>
      <c r="L85" s="19">
        <f>(SUM(L77:L84))</f>
        <v>31</v>
      </c>
      <c r="M85" s="33"/>
      <c r="N85" s="19" t="s">
        <v>13</v>
      </c>
      <c r="O85" s="19">
        <f>(SUM(O77:O84))</f>
        <v>32</v>
      </c>
      <c r="P85" s="19">
        <f>(SUM(P77:P84))</f>
        <v>0</v>
      </c>
      <c r="Q85" s="19">
        <f>(SUM(Q77:Q84))</f>
        <v>32</v>
      </c>
      <c r="R85" s="21"/>
    </row>
    <row r="86" spans="2:27" x14ac:dyDescent="0.2">
      <c r="I86" s="38"/>
      <c r="J86" s="38"/>
      <c r="K86" s="38"/>
      <c r="L86" s="38"/>
      <c r="M86" s="1"/>
      <c r="N86" s="38"/>
      <c r="O86" s="38"/>
      <c r="P86" s="38"/>
      <c r="Q86" s="38"/>
    </row>
    <row r="87" spans="2:27" outlineLevel="1" x14ac:dyDescent="0.2"/>
    <row r="88" spans="2:27" ht="14" customHeight="1" outlineLevel="1" x14ac:dyDescent="0.2">
      <c r="B88" s="7">
        <v>36</v>
      </c>
      <c r="I88" s="20" t="s">
        <v>77</v>
      </c>
      <c r="J88" s="20">
        <v>1</v>
      </c>
      <c r="K88" s="20" t="s">
        <v>12</v>
      </c>
      <c r="L88" s="20" t="s">
        <v>14</v>
      </c>
      <c r="M88" s="33"/>
      <c r="N88" s="20" t="s">
        <v>77</v>
      </c>
      <c r="O88" s="20">
        <v>2</v>
      </c>
      <c r="P88" s="20" t="s">
        <v>12</v>
      </c>
      <c r="Q88" s="20" t="s">
        <v>15</v>
      </c>
      <c r="R88" s="21"/>
      <c r="S88" s="20" t="s">
        <v>77</v>
      </c>
      <c r="T88" s="20">
        <v>3</v>
      </c>
      <c r="U88" s="20" t="s">
        <v>12</v>
      </c>
      <c r="V88" s="20" t="s">
        <v>15</v>
      </c>
      <c r="W88" s="21"/>
      <c r="X88" s="20" t="s">
        <v>77</v>
      </c>
      <c r="Y88" s="20">
        <v>4</v>
      </c>
      <c r="Z88" s="20" t="s">
        <v>12</v>
      </c>
      <c r="AA88" s="42" t="s">
        <v>14</v>
      </c>
    </row>
    <row r="89" spans="2:27" outlineLevel="1" x14ac:dyDescent="0.2">
      <c r="I89" s="19" t="s">
        <v>11</v>
      </c>
      <c r="J89" s="35" t="s">
        <v>6</v>
      </c>
      <c r="K89" s="19"/>
      <c r="L89" s="19"/>
      <c r="M89" s="33"/>
      <c r="N89" s="19" t="s">
        <v>11</v>
      </c>
      <c r="O89" s="35" t="s">
        <v>7</v>
      </c>
      <c r="P89" s="19"/>
      <c r="Q89" s="19"/>
      <c r="R89" s="21"/>
      <c r="S89" s="19" t="s">
        <v>11</v>
      </c>
      <c r="T89" s="35" t="s">
        <v>8</v>
      </c>
      <c r="U89" s="19"/>
      <c r="V89" s="19"/>
      <c r="W89" s="21"/>
      <c r="X89" s="19" t="s">
        <v>11</v>
      </c>
      <c r="Y89" s="35" t="s">
        <v>5</v>
      </c>
      <c r="Z89" s="19"/>
      <c r="AA89" s="43"/>
    </row>
    <row r="90" spans="2:27" ht="16" customHeight="1" outlineLevel="1" x14ac:dyDescent="0.2">
      <c r="D90" s="19" t="s">
        <v>41</v>
      </c>
      <c r="E90" s="19" t="s">
        <v>60</v>
      </c>
      <c r="F90" s="20" t="s">
        <v>61</v>
      </c>
      <c r="G90" s="19" t="s">
        <v>43</v>
      </c>
      <c r="H90" s="21"/>
      <c r="I90" s="20" t="s">
        <v>9</v>
      </c>
      <c r="J90" s="20" t="s">
        <v>66</v>
      </c>
      <c r="K90" s="20" t="s">
        <v>60</v>
      </c>
      <c r="L90" s="20" t="s">
        <v>62</v>
      </c>
      <c r="M90" s="33"/>
      <c r="N90" s="20" t="s">
        <v>9</v>
      </c>
      <c r="O90" s="20" t="s">
        <v>66</v>
      </c>
      <c r="P90" s="20" t="s">
        <v>60</v>
      </c>
      <c r="Q90" s="20" t="s">
        <v>62</v>
      </c>
      <c r="R90" s="21"/>
      <c r="S90" s="20" t="s">
        <v>9</v>
      </c>
      <c r="T90" s="20" t="s">
        <v>66</v>
      </c>
      <c r="U90" s="20" t="s">
        <v>60</v>
      </c>
      <c r="V90" s="20" t="s">
        <v>62</v>
      </c>
      <c r="W90" s="21"/>
      <c r="X90" s="20" t="s">
        <v>9</v>
      </c>
      <c r="Y90" s="20" t="s">
        <v>66</v>
      </c>
      <c r="Z90" s="20" t="s">
        <v>60</v>
      </c>
      <c r="AA90" s="42" t="s">
        <v>62</v>
      </c>
    </row>
    <row r="91" spans="2:27" outlineLevel="1" x14ac:dyDescent="0.2">
      <c r="D91" s="19" t="s">
        <v>16</v>
      </c>
      <c r="E91" s="19">
        <f>SUM(K99,P99,U99,Z99)</f>
        <v>0</v>
      </c>
      <c r="F91" s="19">
        <f>SUM(L99,Q99,V99,AA99)</f>
        <v>147</v>
      </c>
      <c r="G91" s="19">
        <f>SUM(E91:F91)</f>
        <v>147</v>
      </c>
      <c r="H91" s="21"/>
      <c r="I91" s="20">
        <v>1</v>
      </c>
      <c r="J91" s="20">
        <v>0</v>
      </c>
      <c r="K91" s="20">
        <v>0</v>
      </c>
      <c r="L91" s="20">
        <v>1</v>
      </c>
      <c r="M91" s="33"/>
      <c r="N91" s="20">
        <v>1</v>
      </c>
      <c r="O91" s="20">
        <v>0</v>
      </c>
      <c r="P91" s="20">
        <v>0</v>
      </c>
      <c r="Q91" s="20">
        <v>2</v>
      </c>
      <c r="R91" s="21"/>
      <c r="S91" s="20">
        <v>1</v>
      </c>
      <c r="T91" s="20">
        <v>0</v>
      </c>
      <c r="U91" s="20">
        <v>0</v>
      </c>
      <c r="V91" s="20">
        <v>7</v>
      </c>
      <c r="W91" s="21"/>
      <c r="X91" s="20">
        <v>1</v>
      </c>
      <c r="Y91" s="20">
        <v>0</v>
      </c>
      <c r="Z91" s="20">
        <v>0</v>
      </c>
      <c r="AA91" s="42">
        <v>0</v>
      </c>
    </row>
    <row r="92" spans="2:27" outlineLevel="1" x14ac:dyDescent="0.2">
      <c r="D92" s="19" t="s">
        <v>17</v>
      </c>
      <c r="E92" s="19">
        <v>0</v>
      </c>
      <c r="F92" s="19">
        <v>156</v>
      </c>
      <c r="G92" s="19">
        <f>SUM(E92:F92)</f>
        <v>156</v>
      </c>
      <c r="H92" s="21"/>
      <c r="I92" s="19">
        <v>2</v>
      </c>
      <c r="J92" s="20">
        <v>0</v>
      </c>
      <c r="K92" s="20">
        <v>0</v>
      </c>
      <c r="L92" s="20">
        <v>2</v>
      </c>
      <c r="M92" s="33"/>
      <c r="N92" s="19">
        <v>2</v>
      </c>
      <c r="O92" s="20">
        <v>0</v>
      </c>
      <c r="P92" s="20">
        <v>0</v>
      </c>
      <c r="Q92" s="20">
        <v>12</v>
      </c>
      <c r="R92" s="21"/>
      <c r="S92" s="19">
        <v>2</v>
      </c>
      <c r="T92" s="20">
        <v>0</v>
      </c>
      <c r="U92" s="20">
        <v>0</v>
      </c>
      <c r="V92" s="20">
        <v>12</v>
      </c>
      <c r="W92" s="21"/>
      <c r="X92" s="19">
        <v>2</v>
      </c>
      <c r="Y92" s="20">
        <v>0</v>
      </c>
      <c r="Z92" s="20">
        <v>0</v>
      </c>
      <c r="AA92" s="42">
        <v>2</v>
      </c>
    </row>
    <row r="93" spans="2:27" outlineLevel="1" x14ac:dyDescent="0.2">
      <c r="D93" s="19" t="s">
        <v>40</v>
      </c>
      <c r="E93" s="19"/>
      <c r="F93" s="22">
        <f>MIN(F91,F92)/MAX(F91,F92)</f>
        <v>0.94230769230769229</v>
      </c>
      <c r="G93" s="22">
        <f>MIN(G91,G92)/MAX(G91,G92)</f>
        <v>0.94230769230769229</v>
      </c>
      <c r="H93" s="21"/>
      <c r="I93" s="19">
        <v>3</v>
      </c>
      <c r="J93" s="20">
        <v>0</v>
      </c>
      <c r="K93" s="20">
        <v>0</v>
      </c>
      <c r="L93" s="20">
        <v>2</v>
      </c>
      <c r="M93" s="33"/>
      <c r="N93" s="19">
        <v>3</v>
      </c>
      <c r="O93" s="20">
        <v>0</v>
      </c>
      <c r="P93" s="20">
        <v>0</v>
      </c>
      <c r="Q93" s="20">
        <v>12</v>
      </c>
      <c r="R93" s="21"/>
      <c r="S93" s="19">
        <v>3</v>
      </c>
      <c r="T93" s="20">
        <v>0</v>
      </c>
      <c r="U93" s="20">
        <v>0</v>
      </c>
      <c r="V93" s="20">
        <v>12</v>
      </c>
      <c r="W93" s="21"/>
      <c r="X93" s="19">
        <v>3</v>
      </c>
      <c r="Y93" s="20">
        <v>0</v>
      </c>
      <c r="Z93" s="20">
        <v>0</v>
      </c>
      <c r="AA93" s="42">
        <v>2</v>
      </c>
    </row>
    <row r="94" spans="2:27" outlineLevel="1" x14ac:dyDescent="0.2">
      <c r="D94" s="38"/>
      <c r="E94" s="38"/>
      <c r="F94" s="38"/>
      <c r="G94" s="38"/>
      <c r="I94" s="20">
        <v>4</v>
      </c>
      <c r="J94" s="20">
        <v>0</v>
      </c>
      <c r="K94" s="20">
        <v>0</v>
      </c>
      <c r="L94" s="20">
        <v>2</v>
      </c>
      <c r="M94" s="33"/>
      <c r="N94" s="20">
        <v>4</v>
      </c>
      <c r="O94" s="20">
        <v>0</v>
      </c>
      <c r="P94" s="20">
        <v>0</v>
      </c>
      <c r="Q94" s="20">
        <v>6</v>
      </c>
      <c r="R94" s="21"/>
      <c r="S94" s="20">
        <v>4</v>
      </c>
      <c r="T94" s="20">
        <v>0</v>
      </c>
      <c r="U94" s="20">
        <v>0</v>
      </c>
      <c r="V94" s="20">
        <v>6</v>
      </c>
      <c r="W94" s="21"/>
      <c r="X94" s="20">
        <v>4</v>
      </c>
      <c r="Y94" s="20">
        <v>0</v>
      </c>
      <c r="Z94" s="20">
        <v>0</v>
      </c>
      <c r="AA94" s="42">
        <v>2</v>
      </c>
    </row>
    <row r="95" spans="2:27" ht="19" customHeight="1" outlineLevel="1" x14ac:dyDescent="0.2">
      <c r="D95" s="19" t="s">
        <v>0</v>
      </c>
      <c r="E95" s="20" t="s">
        <v>63</v>
      </c>
      <c r="F95" s="20" t="s">
        <v>64</v>
      </c>
      <c r="G95" s="19" t="s">
        <v>37</v>
      </c>
      <c r="H95" s="21"/>
      <c r="I95" s="20">
        <v>5</v>
      </c>
      <c r="J95" s="20">
        <v>0</v>
      </c>
      <c r="K95" s="20">
        <v>0</v>
      </c>
      <c r="L95" s="20">
        <v>2</v>
      </c>
      <c r="M95" s="33"/>
      <c r="N95" s="20">
        <v>5</v>
      </c>
      <c r="O95" s="20">
        <v>0</v>
      </c>
      <c r="P95" s="20">
        <v>0</v>
      </c>
      <c r="Q95" s="20">
        <v>6</v>
      </c>
      <c r="R95" s="21"/>
      <c r="S95" s="20">
        <v>5</v>
      </c>
      <c r="T95" s="20">
        <v>0</v>
      </c>
      <c r="U95" s="20">
        <v>0</v>
      </c>
      <c r="V95" s="20">
        <v>6</v>
      </c>
      <c r="W95" s="21"/>
      <c r="X95" s="20">
        <v>5</v>
      </c>
      <c r="Y95" s="20">
        <v>0</v>
      </c>
      <c r="Z95" s="20">
        <v>0</v>
      </c>
      <c r="AA95" s="42">
        <v>2</v>
      </c>
    </row>
    <row r="96" spans="2:27" outlineLevel="1" x14ac:dyDescent="0.2">
      <c r="D96" s="19" t="s">
        <v>16</v>
      </c>
      <c r="E96" s="19">
        <f>SUM(P99,U99)</f>
        <v>0</v>
      </c>
      <c r="F96" s="19">
        <f>SUM(Q99,V99)</f>
        <v>116</v>
      </c>
      <c r="G96" s="19">
        <f>SUM(E96:F96)</f>
        <v>116</v>
      </c>
      <c r="H96" s="21"/>
      <c r="I96" s="20">
        <v>6</v>
      </c>
      <c r="J96" s="20">
        <v>0</v>
      </c>
      <c r="K96" s="20">
        <v>0</v>
      </c>
      <c r="L96" s="20">
        <v>2</v>
      </c>
      <c r="M96" s="33"/>
      <c r="N96" s="20">
        <v>6</v>
      </c>
      <c r="O96" s="20">
        <v>0</v>
      </c>
      <c r="P96" s="20">
        <v>0</v>
      </c>
      <c r="Q96" s="20">
        <v>6</v>
      </c>
      <c r="R96" s="21"/>
      <c r="S96" s="20">
        <v>6</v>
      </c>
      <c r="T96" s="20">
        <v>0</v>
      </c>
      <c r="U96" s="20">
        <v>0</v>
      </c>
      <c r="V96" s="20">
        <v>6</v>
      </c>
      <c r="W96" s="21"/>
      <c r="X96" s="20">
        <v>6</v>
      </c>
      <c r="Y96" s="20">
        <v>0</v>
      </c>
      <c r="Z96" s="20">
        <v>0</v>
      </c>
      <c r="AA96" s="42">
        <v>2</v>
      </c>
    </row>
    <row r="97" spans="1:27" outlineLevel="1" x14ac:dyDescent="0.2">
      <c r="D97" s="19" t="s">
        <v>17</v>
      </c>
      <c r="E97" s="19">
        <v>0</v>
      </c>
      <c r="F97" s="19">
        <v>124</v>
      </c>
      <c r="G97" s="19">
        <f>SUM(E97:F97)</f>
        <v>124</v>
      </c>
      <c r="H97" s="21"/>
      <c r="I97" s="20">
        <v>7</v>
      </c>
      <c r="J97" s="20">
        <v>0</v>
      </c>
      <c r="K97" s="20">
        <v>0</v>
      </c>
      <c r="L97" s="20">
        <v>2</v>
      </c>
      <c r="M97" s="33"/>
      <c r="N97" s="20">
        <v>7</v>
      </c>
      <c r="O97" s="20">
        <v>0</v>
      </c>
      <c r="P97" s="20">
        <v>0</v>
      </c>
      <c r="Q97" s="20">
        <v>6</v>
      </c>
      <c r="R97" s="21"/>
      <c r="S97" s="20">
        <v>7</v>
      </c>
      <c r="T97" s="20">
        <v>0</v>
      </c>
      <c r="U97" s="20">
        <v>0</v>
      </c>
      <c r="V97" s="20">
        <v>6</v>
      </c>
      <c r="W97" s="21"/>
      <c r="X97" s="20">
        <v>7</v>
      </c>
      <c r="Y97" s="20">
        <v>0</v>
      </c>
      <c r="Z97" s="20">
        <v>0</v>
      </c>
      <c r="AA97" s="42">
        <v>2</v>
      </c>
    </row>
    <row r="98" spans="1:27" outlineLevel="1" x14ac:dyDescent="0.2">
      <c r="D98" s="19" t="s">
        <v>40</v>
      </c>
      <c r="E98" s="22"/>
      <c r="F98" s="22">
        <f>MIN(F96,F97)/MAX(F96,F97)</f>
        <v>0.93548387096774188</v>
      </c>
      <c r="G98" s="22">
        <f>MIN(G96,G97)/MAX(G96,G97)</f>
        <v>0.93548387096774188</v>
      </c>
      <c r="H98" s="21"/>
      <c r="I98" s="19" t="s">
        <v>10</v>
      </c>
      <c r="J98" s="20">
        <v>0</v>
      </c>
      <c r="K98" s="20">
        <v>0</v>
      </c>
      <c r="L98" s="20">
        <v>3</v>
      </c>
      <c r="M98" s="33"/>
      <c r="N98" s="19" t="s">
        <v>10</v>
      </c>
      <c r="O98" s="20">
        <v>0</v>
      </c>
      <c r="P98" s="20">
        <v>0</v>
      </c>
      <c r="Q98" s="20">
        <v>6</v>
      </c>
      <c r="R98" s="21"/>
      <c r="S98" s="19" t="s">
        <v>10</v>
      </c>
      <c r="T98" s="20">
        <v>0</v>
      </c>
      <c r="U98" s="20">
        <v>0</v>
      </c>
      <c r="V98" s="20">
        <v>5</v>
      </c>
      <c r="W98" s="21"/>
      <c r="X98" s="19" t="s">
        <v>10</v>
      </c>
      <c r="Y98" s="20">
        <v>0</v>
      </c>
      <c r="Z98" s="20">
        <v>0</v>
      </c>
      <c r="AA98" s="42">
        <v>3</v>
      </c>
    </row>
    <row r="99" spans="1:27" x14ac:dyDescent="0.2">
      <c r="D99" s="38"/>
      <c r="E99" s="38"/>
      <c r="F99" s="38"/>
      <c r="G99" s="38"/>
      <c r="I99" s="19" t="s">
        <v>13</v>
      </c>
      <c r="J99" s="19">
        <f>(SUM(J91:J98))</f>
        <v>0</v>
      </c>
      <c r="K99" s="19">
        <f>(SUM(K91:K98))</f>
        <v>0</v>
      </c>
      <c r="L99" s="19">
        <f>(SUM(L91:L98))</f>
        <v>16</v>
      </c>
      <c r="M99" s="33"/>
      <c r="N99" s="19" t="s">
        <v>13</v>
      </c>
      <c r="O99" s="19">
        <f>(SUM(O91:O98))</f>
        <v>0</v>
      </c>
      <c r="P99" s="19">
        <f>(SUM(P91:P98))</f>
        <v>0</v>
      </c>
      <c r="Q99" s="19">
        <f>(SUM(Q91:Q98))</f>
        <v>56</v>
      </c>
      <c r="R99" s="21"/>
      <c r="S99" s="19" t="s">
        <v>13</v>
      </c>
      <c r="T99" s="19">
        <f>(SUM(T91:T98))</f>
        <v>0</v>
      </c>
      <c r="U99" s="19">
        <f>(SUM(U91:U98))</f>
        <v>0</v>
      </c>
      <c r="V99" s="19">
        <f>(SUM(V91:V98))</f>
        <v>60</v>
      </c>
      <c r="W99" s="21"/>
      <c r="X99" s="19" t="s">
        <v>13</v>
      </c>
      <c r="Y99" s="19">
        <f>(SUM(Y91:Y98))</f>
        <v>0</v>
      </c>
      <c r="Z99" s="19">
        <f>(SUM(Z91:Z98))</f>
        <v>0</v>
      </c>
      <c r="AA99" s="43">
        <f>(SUM(AA91:AA98))</f>
        <v>15</v>
      </c>
    </row>
    <row r="100" spans="1:27" x14ac:dyDescent="0.2">
      <c r="I100" s="38"/>
      <c r="J100" s="38"/>
      <c r="K100" s="38"/>
      <c r="L100" s="38"/>
      <c r="M100" s="1"/>
      <c r="N100" s="38"/>
      <c r="O100" s="38"/>
      <c r="P100" s="38"/>
      <c r="Q100" s="38"/>
      <c r="S100" s="38"/>
      <c r="T100" s="38"/>
      <c r="U100" s="38"/>
      <c r="V100" s="38"/>
      <c r="X100" s="38"/>
      <c r="Y100" s="38"/>
      <c r="Z100" s="38"/>
      <c r="AA100" s="38"/>
    </row>
    <row r="101" spans="1:27" outlineLevel="1" x14ac:dyDescent="0.2"/>
    <row r="102" spans="1:27" ht="15" customHeight="1" outlineLevel="1" x14ac:dyDescent="0.2">
      <c r="A102" s="6" t="s">
        <v>42</v>
      </c>
      <c r="B102" s="7">
        <v>119</v>
      </c>
      <c r="I102" s="20" t="s">
        <v>77</v>
      </c>
      <c r="J102" s="20">
        <v>1</v>
      </c>
      <c r="K102" s="20" t="s">
        <v>12</v>
      </c>
      <c r="L102" s="20" t="s">
        <v>14</v>
      </c>
      <c r="M102" s="33"/>
      <c r="N102" s="20" t="s">
        <v>77</v>
      </c>
      <c r="O102" s="20">
        <v>2</v>
      </c>
      <c r="P102" s="20" t="s">
        <v>12</v>
      </c>
      <c r="Q102" s="20" t="s">
        <v>14</v>
      </c>
      <c r="R102" s="21"/>
      <c r="S102" s="20" t="s">
        <v>77</v>
      </c>
      <c r="T102" s="20">
        <v>3</v>
      </c>
      <c r="U102" s="20" t="s">
        <v>12</v>
      </c>
      <c r="V102" s="20" t="s">
        <v>15</v>
      </c>
      <c r="W102" s="21"/>
      <c r="X102" s="20" t="s">
        <v>77</v>
      </c>
      <c r="Y102" s="20">
        <v>4</v>
      </c>
      <c r="Z102" s="20" t="s">
        <v>12</v>
      </c>
      <c r="AA102" s="42" t="s">
        <v>15</v>
      </c>
    </row>
    <row r="103" spans="1:27" outlineLevel="1" x14ac:dyDescent="0.2">
      <c r="I103" s="19" t="s">
        <v>11</v>
      </c>
      <c r="J103" s="35" t="s">
        <v>7</v>
      </c>
      <c r="K103" s="19"/>
      <c r="L103" s="19"/>
      <c r="M103" s="33"/>
      <c r="N103" s="19" t="s">
        <v>11</v>
      </c>
      <c r="O103" s="35" t="s">
        <v>6</v>
      </c>
      <c r="P103" s="19"/>
      <c r="Q103" s="19"/>
      <c r="R103" s="21"/>
      <c r="S103" s="19" t="s">
        <v>11</v>
      </c>
      <c r="T103" s="35" t="s">
        <v>8</v>
      </c>
      <c r="U103" s="19"/>
      <c r="V103" s="19"/>
      <c r="W103" s="21"/>
      <c r="X103" s="19" t="s">
        <v>11</v>
      </c>
      <c r="Y103" s="35" t="s">
        <v>5</v>
      </c>
      <c r="Z103" s="19"/>
      <c r="AA103" s="43"/>
    </row>
    <row r="104" spans="1:27" ht="14" customHeight="1" outlineLevel="1" x14ac:dyDescent="0.2">
      <c r="D104" s="19" t="s">
        <v>41</v>
      </c>
      <c r="E104" s="19" t="s">
        <v>60</v>
      </c>
      <c r="F104" s="20" t="s">
        <v>61</v>
      </c>
      <c r="G104" s="19" t="s">
        <v>43</v>
      </c>
      <c r="H104" s="21"/>
      <c r="I104" s="20" t="s">
        <v>9</v>
      </c>
      <c r="J104" s="20" t="s">
        <v>66</v>
      </c>
      <c r="K104" s="20" t="s">
        <v>60</v>
      </c>
      <c r="L104" s="20" t="s">
        <v>62</v>
      </c>
      <c r="M104" s="33"/>
      <c r="N104" s="20" t="s">
        <v>9</v>
      </c>
      <c r="O104" s="20" t="s">
        <v>66</v>
      </c>
      <c r="P104" s="20" t="s">
        <v>60</v>
      </c>
      <c r="Q104" s="20" t="s">
        <v>62</v>
      </c>
      <c r="R104" s="21"/>
      <c r="S104" s="20" t="s">
        <v>9</v>
      </c>
      <c r="T104" s="20" t="s">
        <v>66</v>
      </c>
      <c r="U104" s="20" t="s">
        <v>60</v>
      </c>
      <c r="V104" s="20" t="s">
        <v>62</v>
      </c>
      <c r="W104" s="21"/>
      <c r="X104" s="20" t="s">
        <v>9</v>
      </c>
      <c r="Y104" s="20" t="s">
        <v>66</v>
      </c>
      <c r="Z104" s="20" t="s">
        <v>60</v>
      </c>
      <c r="AA104" s="42" t="s">
        <v>62</v>
      </c>
    </row>
    <row r="105" spans="1:27" outlineLevel="1" x14ac:dyDescent="0.2">
      <c r="D105" s="19" t="s">
        <v>16</v>
      </c>
      <c r="E105" s="19">
        <f>SUM(K113,P113,U113,Z113)</f>
        <v>0</v>
      </c>
      <c r="F105" s="19">
        <f>SUM(L113,Q113,V113,AA113)</f>
        <v>160</v>
      </c>
      <c r="G105" s="19">
        <f>SUM(E105:F105)</f>
        <v>160</v>
      </c>
      <c r="H105" s="21"/>
      <c r="I105" s="20">
        <v>1</v>
      </c>
      <c r="J105" s="20">
        <f t="shared" ref="J105:J112" si="13">SUM(K105,L105)</f>
        <v>2</v>
      </c>
      <c r="K105" s="20"/>
      <c r="L105" s="20">
        <v>2</v>
      </c>
      <c r="M105" s="33"/>
      <c r="N105" s="20">
        <v>1</v>
      </c>
      <c r="O105" s="20">
        <f>SUM(P105,Q105)</f>
        <v>4</v>
      </c>
      <c r="P105" s="20"/>
      <c r="Q105" s="20">
        <v>4</v>
      </c>
      <c r="R105" s="21"/>
      <c r="S105" s="20">
        <v>1</v>
      </c>
      <c r="T105" s="20">
        <f t="shared" ref="T105:T112" si="14">SUM(U105,V105)</f>
        <v>8</v>
      </c>
      <c r="U105" s="20"/>
      <c r="V105" s="20">
        <v>8</v>
      </c>
      <c r="W105" s="21"/>
      <c r="X105" s="20">
        <v>1</v>
      </c>
      <c r="Y105" s="20">
        <f>SUM(Z105,AA105)</f>
        <v>8</v>
      </c>
      <c r="Z105" s="20">
        <v>0</v>
      </c>
      <c r="AA105" s="42">
        <v>8</v>
      </c>
    </row>
    <row r="106" spans="1:27" outlineLevel="1" x14ac:dyDescent="0.2">
      <c r="D106" s="19" t="s">
        <v>17</v>
      </c>
      <c r="E106" s="19">
        <v>0</v>
      </c>
      <c r="F106" s="19">
        <v>125</v>
      </c>
      <c r="G106" s="19">
        <f>SUM(E106:F106)</f>
        <v>125</v>
      </c>
      <c r="H106" s="21"/>
      <c r="I106" s="19">
        <v>2</v>
      </c>
      <c r="J106" s="20">
        <f t="shared" si="13"/>
        <v>4</v>
      </c>
      <c r="K106" s="19"/>
      <c r="L106" s="19">
        <v>4</v>
      </c>
      <c r="M106" s="33"/>
      <c r="N106" s="19">
        <v>2</v>
      </c>
      <c r="O106" s="20">
        <f t="shared" ref="O106:O112" si="15">SUM(P106,Q106)</f>
        <v>5</v>
      </c>
      <c r="P106" s="19"/>
      <c r="Q106" s="19">
        <v>5</v>
      </c>
      <c r="R106" s="21"/>
      <c r="S106" s="19">
        <v>2</v>
      </c>
      <c r="T106" s="20">
        <f t="shared" si="14"/>
        <v>11</v>
      </c>
      <c r="U106" s="19"/>
      <c r="V106" s="19">
        <v>11</v>
      </c>
      <c r="W106" s="21"/>
      <c r="X106" s="19">
        <v>2</v>
      </c>
      <c r="Y106" s="20">
        <f t="shared" ref="Y106:Y112" si="16">SUM(Z106,AA106)</f>
        <v>8</v>
      </c>
      <c r="Z106" s="19">
        <v>0</v>
      </c>
      <c r="AA106" s="43">
        <v>8</v>
      </c>
    </row>
    <row r="107" spans="1:27" outlineLevel="1" x14ac:dyDescent="0.2">
      <c r="D107" s="19" t="s">
        <v>40</v>
      </c>
      <c r="E107" s="19"/>
      <c r="F107" s="22">
        <f>MIN(F105,F106)/MAX(F105,F106)</f>
        <v>0.78125</v>
      </c>
      <c r="G107" s="22">
        <f>MIN(G105,G106)/MAX(G105,G106)</f>
        <v>0.78125</v>
      </c>
      <c r="H107" s="21"/>
      <c r="I107" s="19">
        <v>3</v>
      </c>
      <c r="J107" s="20">
        <f t="shared" si="13"/>
        <v>4</v>
      </c>
      <c r="K107" s="19"/>
      <c r="L107" s="19">
        <v>4</v>
      </c>
      <c r="M107" s="33"/>
      <c r="N107" s="19">
        <v>3</v>
      </c>
      <c r="O107" s="20">
        <f t="shared" si="15"/>
        <v>5</v>
      </c>
      <c r="P107" s="19"/>
      <c r="Q107" s="19">
        <v>5</v>
      </c>
      <c r="R107" s="21"/>
      <c r="S107" s="19">
        <v>3</v>
      </c>
      <c r="T107" s="20">
        <f t="shared" si="14"/>
        <v>11</v>
      </c>
      <c r="U107" s="19"/>
      <c r="V107" s="19">
        <v>11</v>
      </c>
      <c r="W107" s="21"/>
      <c r="X107" s="19">
        <v>3</v>
      </c>
      <c r="Y107" s="20">
        <f t="shared" si="16"/>
        <v>8</v>
      </c>
      <c r="Z107" s="19">
        <v>0</v>
      </c>
      <c r="AA107" s="43">
        <v>8</v>
      </c>
    </row>
    <row r="108" spans="1:27" outlineLevel="1" x14ac:dyDescent="0.2">
      <c r="D108" s="38"/>
      <c r="E108" s="38"/>
      <c r="F108" s="38"/>
      <c r="G108" s="38"/>
      <c r="I108" s="20">
        <v>4</v>
      </c>
      <c r="J108" s="20">
        <f t="shared" si="13"/>
        <v>4</v>
      </c>
      <c r="K108" s="19"/>
      <c r="L108" s="19">
        <v>4</v>
      </c>
      <c r="M108" s="33"/>
      <c r="N108" s="20">
        <v>4</v>
      </c>
      <c r="O108" s="20">
        <f t="shared" si="15"/>
        <v>5</v>
      </c>
      <c r="P108" s="19"/>
      <c r="Q108" s="19">
        <v>5</v>
      </c>
      <c r="R108" s="21"/>
      <c r="S108" s="20">
        <v>4</v>
      </c>
      <c r="T108" s="20">
        <f t="shared" si="14"/>
        <v>11</v>
      </c>
      <c r="U108" s="19"/>
      <c r="V108" s="19">
        <v>11</v>
      </c>
      <c r="W108" s="21"/>
      <c r="X108" s="20">
        <v>4</v>
      </c>
      <c r="Y108" s="20">
        <f t="shared" si="16"/>
        <v>8</v>
      </c>
      <c r="Z108" s="19">
        <v>0</v>
      </c>
      <c r="AA108" s="43">
        <v>8</v>
      </c>
    </row>
    <row r="109" spans="1:27" ht="16" customHeight="1" outlineLevel="1" x14ac:dyDescent="0.2">
      <c r="D109" s="19" t="s">
        <v>0</v>
      </c>
      <c r="E109" s="20" t="s">
        <v>63</v>
      </c>
      <c r="F109" s="20" t="s">
        <v>64</v>
      </c>
      <c r="G109" s="19" t="s">
        <v>37</v>
      </c>
      <c r="H109" s="21"/>
      <c r="I109" s="20">
        <v>5</v>
      </c>
      <c r="J109" s="20">
        <f t="shared" si="13"/>
        <v>4</v>
      </c>
      <c r="K109" s="19"/>
      <c r="L109" s="19">
        <v>4</v>
      </c>
      <c r="M109" s="33"/>
      <c r="N109" s="20">
        <v>5</v>
      </c>
      <c r="O109" s="20">
        <f t="shared" si="15"/>
        <v>5</v>
      </c>
      <c r="P109" s="19"/>
      <c r="Q109" s="19">
        <v>5</v>
      </c>
      <c r="R109" s="21"/>
      <c r="S109" s="20">
        <v>5</v>
      </c>
      <c r="T109" s="20">
        <f t="shared" si="14"/>
        <v>5</v>
      </c>
      <c r="U109" s="19"/>
      <c r="V109" s="19">
        <v>5</v>
      </c>
      <c r="W109" s="21"/>
      <c r="X109" s="20">
        <v>5</v>
      </c>
      <c r="Y109" s="20">
        <f t="shared" si="16"/>
        <v>7</v>
      </c>
      <c r="Z109" s="19">
        <v>0</v>
      </c>
      <c r="AA109" s="43">
        <v>7</v>
      </c>
    </row>
    <row r="110" spans="1:27" outlineLevel="1" x14ac:dyDescent="0.2">
      <c r="B110" s="79" t="s">
        <v>46</v>
      </c>
      <c r="C110" s="21"/>
      <c r="D110" s="19" t="s">
        <v>16</v>
      </c>
      <c r="E110" s="19">
        <f>SUM(Z113,U113)</f>
        <v>0</v>
      </c>
      <c r="F110" s="19">
        <f>SUM(AA113,V113)</f>
        <v>104</v>
      </c>
      <c r="G110" s="19">
        <f>SUM(E110:F110)</f>
        <v>104</v>
      </c>
      <c r="H110" s="21"/>
      <c r="I110" s="20">
        <v>6</v>
      </c>
      <c r="J110" s="20">
        <f t="shared" si="13"/>
        <v>4</v>
      </c>
      <c r="K110" s="19"/>
      <c r="L110" s="19">
        <v>4</v>
      </c>
      <c r="M110" s="33"/>
      <c r="N110" s="20">
        <v>6</v>
      </c>
      <c r="O110" s="20">
        <f t="shared" si="15"/>
        <v>4</v>
      </c>
      <c r="P110" s="19"/>
      <c r="Q110" s="19">
        <v>4</v>
      </c>
      <c r="R110" s="21"/>
      <c r="S110" s="20">
        <v>6</v>
      </c>
      <c r="T110" s="20">
        <f t="shared" si="14"/>
        <v>8</v>
      </c>
      <c r="U110" s="19"/>
      <c r="V110" s="19">
        <v>8</v>
      </c>
      <c r="W110" s="21"/>
      <c r="X110" s="20">
        <v>6</v>
      </c>
      <c r="Y110" s="20">
        <f t="shared" si="16"/>
        <v>4</v>
      </c>
      <c r="Z110" s="19">
        <v>0</v>
      </c>
      <c r="AA110" s="43">
        <v>4</v>
      </c>
    </row>
    <row r="111" spans="1:27" outlineLevel="1" x14ac:dyDescent="0.2">
      <c r="B111" s="79"/>
      <c r="C111" s="21"/>
      <c r="D111" s="19" t="s">
        <v>17</v>
      </c>
      <c r="E111" s="19">
        <v>0</v>
      </c>
      <c r="F111" s="19">
        <v>74</v>
      </c>
      <c r="G111" s="19">
        <f>SUM(E111:F111)</f>
        <v>74</v>
      </c>
      <c r="H111" s="21"/>
      <c r="I111" s="20">
        <v>7</v>
      </c>
      <c r="J111" s="20">
        <f t="shared" si="13"/>
        <v>0</v>
      </c>
      <c r="K111" s="19"/>
      <c r="L111" s="19"/>
      <c r="M111" s="33"/>
      <c r="N111" s="20">
        <v>7</v>
      </c>
      <c r="O111" s="20">
        <f t="shared" si="15"/>
        <v>0</v>
      </c>
      <c r="P111" s="19"/>
      <c r="Q111" s="19"/>
      <c r="R111" s="21"/>
      <c r="S111" s="20">
        <v>7</v>
      </c>
      <c r="T111" s="20">
        <f t="shared" si="14"/>
        <v>0</v>
      </c>
      <c r="U111" s="19"/>
      <c r="V111" s="19"/>
      <c r="W111" s="21"/>
      <c r="X111" s="20">
        <v>7</v>
      </c>
      <c r="Y111" s="20">
        <f t="shared" si="16"/>
        <v>3</v>
      </c>
      <c r="Z111" s="19">
        <v>0</v>
      </c>
      <c r="AA111" s="43">
        <v>3</v>
      </c>
    </row>
    <row r="112" spans="1:27" outlineLevel="1" x14ac:dyDescent="0.2">
      <c r="B112" s="37"/>
      <c r="D112" s="19" t="s">
        <v>40</v>
      </c>
      <c r="E112" s="22"/>
      <c r="F112" s="22">
        <f>MIN(F110,F111)/MAX(F110,F111)</f>
        <v>0.71153846153846156</v>
      </c>
      <c r="G112" s="22">
        <f>MIN(G110,G111)/MAX(G110,G111)</f>
        <v>0.71153846153846156</v>
      </c>
      <c r="H112" s="21"/>
      <c r="I112" s="19" t="s">
        <v>10</v>
      </c>
      <c r="J112" s="20">
        <f t="shared" si="13"/>
        <v>2</v>
      </c>
      <c r="K112" s="19"/>
      <c r="L112" s="19">
        <v>2</v>
      </c>
      <c r="M112" s="33"/>
      <c r="N112" s="19" t="s">
        <v>10</v>
      </c>
      <c r="O112" s="20">
        <f t="shared" si="15"/>
        <v>4</v>
      </c>
      <c r="P112" s="19"/>
      <c r="Q112" s="19">
        <v>4</v>
      </c>
      <c r="R112" s="21"/>
      <c r="S112" s="19" t="s">
        <v>10</v>
      </c>
      <c r="T112" s="20">
        <f t="shared" si="14"/>
        <v>4</v>
      </c>
      <c r="U112" s="19"/>
      <c r="V112" s="19">
        <v>4</v>
      </c>
      <c r="W112" s="21"/>
      <c r="X112" s="19" t="s">
        <v>10</v>
      </c>
      <c r="Y112" s="20">
        <f t="shared" si="16"/>
        <v>0</v>
      </c>
      <c r="Z112" s="19"/>
      <c r="AA112" s="43"/>
    </row>
    <row r="113" spans="2:27" x14ac:dyDescent="0.2">
      <c r="D113" s="38"/>
      <c r="E113" s="38"/>
      <c r="F113" s="38"/>
      <c r="G113" s="38"/>
      <c r="I113" s="19" t="s">
        <v>13</v>
      </c>
      <c r="J113" s="19">
        <f>(SUM(J105:J112))</f>
        <v>24</v>
      </c>
      <c r="K113" s="19">
        <f>(SUM(K105:K112))</f>
        <v>0</v>
      </c>
      <c r="L113" s="19">
        <f>(SUM(L105:L112))</f>
        <v>24</v>
      </c>
      <c r="M113" s="33"/>
      <c r="N113" s="19" t="s">
        <v>13</v>
      </c>
      <c r="O113" s="19">
        <f>(SUM(O105:O112))</f>
        <v>32</v>
      </c>
      <c r="P113" s="19">
        <f>(SUM(P105:P112))</f>
        <v>0</v>
      </c>
      <c r="Q113" s="19">
        <f>(SUM(Q105:Q112))</f>
        <v>32</v>
      </c>
      <c r="R113" s="21"/>
      <c r="S113" s="19" t="s">
        <v>13</v>
      </c>
      <c r="T113" s="19">
        <f>(SUM(T105:T112))</f>
        <v>58</v>
      </c>
      <c r="U113" s="19">
        <f>(SUM(U105:U112))</f>
        <v>0</v>
      </c>
      <c r="V113" s="19">
        <f>(SUM(V105:V112))</f>
        <v>58</v>
      </c>
      <c r="W113" s="21"/>
      <c r="X113" s="19" t="s">
        <v>13</v>
      </c>
      <c r="Y113" s="19">
        <f>(SUM(Y105:Y112))</f>
        <v>46</v>
      </c>
      <c r="Z113" s="19">
        <f>(SUM(Z105:Z112))</f>
        <v>0</v>
      </c>
      <c r="AA113" s="43">
        <f>(SUM(AA105:AA112))</f>
        <v>46</v>
      </c>
    </row>
    <row r="114" spans="2:27" x14ac:dyDescent="0.2">
      <c r="I114" s="38"/>
      <c r="J114" s="38"/>
      <c r="K114" s="38"/>
      <c r="L114" s="38"/>
      <c r="M114" s="1"/>
      <c r="N114" s="38"/>
      <c r="O114" s="38"/>
      <c r="P114" s="38"/>
      <c r="Q114" s="38"/>
      <c r="S114" s="38"/>
      <c r="T114" s="38"/>
      <c r="U114" s="38"/>
      <c r="V114" s="38"/>
      <c r="X114" s="38"/>
      <c r="Y114" s="38"/>
      <c r="Z114" s="38"/>
      <c r="AA114" s="38"/>
    </row>
    <row r="115" spans="2:27" outlineLevel="1" x14ac:dyDescent="0.2"/>
    <row r="116" spans="2:27" ht="16" customHeight="1" outlineLevel="1" x14ac:dyDescent="0.2">
      <c r="B116" s="7">
        <v>123</v>
      </c>
      <c r="I116" s="20" t="s">
        <v>77</v>
      </c>
      <c r="J116" s="20">
        <v>1</v>
      </c>
      <c r="K116" s="20" t="s">
        <v>12</v>
      </c>
      <c r="L116" s="20" t="s">
        <v>15</v>
      </c>
      <c r="M116" s="33"/>
      <c r="N116" s="20" t="s">
        <v>77</v>
      </c>
      <c r="O116" s="20">
        <v>2</v>
      </c>
      <c r="P116" s="20" t="s">
        <v>12</v>
      </c>
      <c r="Q116" s="20" t="s">
        <v>15</v>
      </c>
      <c r="R116" s="21"/>
      <c r="S116" s="20" t="s">
        <v>77</v>
      </c>
      <c r="T116" s="20">
        <v>3</v>
      </c>
      <c r="U116" s="20" t="s">
        <v>12</v>
      </c>
      <c r="V116" s="20" t="s">
        <v>14</v>
      </c>
      <c r="W116" s="21"/>
      <c r="X116" s="20" t="s">
        <v>77</v>
      </c>
      <c r="Y116" s="20">
        <v>4</v>
      </c>
      <c r="Z116" s="20" t="s">
        <v>12</v>
      </c>
      <c r="AA116" s="42" t="s">
        <v>14</v>
      </c>
    </row>
    <row r="117" spans="2:27" outlineLevel="1" x14ac:dyDescent="0.2">
      <c r="I117" s="19" t="s">
        <v>11</v>
      </c>
      <c r="J117" s="35" t="s">
        <v>5</v>
      </c>
      <c r="K117" s="19"/>
      <c r="L117" s="19"/>
      <c r="M117" s="33"/>
      <c r="N117" s="19" t="s">
        <v>11</v>
      </c>
      <c r="O117" s="35" t="s">
        <v>6</v>
      </c>
      <c r="P117" s="19"/>
      <c r="Q117" s="19"/>
      <c r="R117" s="21"/>
      <c r="S117" s="19" t="s">
        <v>11</v>
      </c>
      <c r="T117" s="35" t="s">
        <v>8</v>
      </c>
      <c r="U117" s="19"/>
      <c r="V117" s="19"/>
      <c r="W117" s="21"/>
      <c r="X117" s="19" t="s">
        <v>11</v>
      </c>
      <c r="Y117" s="35" t="s">
        <v>7</v>
      </c>
      <c r="Z117" s="19"/>
      <c r="AA117" s="43"/>
    </row>
    <row r="118" spans="2:27" ht="17" customHeight="1" outlineLevel="1" x14ac:dyDescent="0.2">
      <c r="D118" s="19" t="s">
        <v>41</v>
      </c>
      <c r="E118" s="19" t="s">
        <v>60</v>
      </c>
      <c r="F118" s="20" t="s">
        <v>61</v>
      </c>
      <c r="G118" s="19" t="s">
        <v>43</v>
      </c>
      <c r="H118" s="21"/>
      <c r="I118" s="20" t="s">
        <v>9</v>
      </c>
      <c r="J118" s="20" t="s">
        <v>66</v>
      </c>
      <c r="K118" s="20" t="s">
        <v>60</v>
      </c>
      <c r="L118" s="20" t="s">
        <v>62</v>
      </c>
      <c r="M118" s="33"/>
      <c r="N118" s="20" t="s">
        <v>9</v>
      </c>
      <c r="O118" s="20" t="s">
        <v>66</v>
      </c>
      <c r="P118" s="20" t="s">
        <v>60</v>
      </c>
      <c r="Q118" s="20" t="s">
        <v>62</v>
      </c>
      <c r="R118" s="21"/>
      <c r="S118" s="20" t="s">
        <v>9</v>
      </c>
      <c r="T118" s="20" t="s">
        <v>66</v>
      </c>
      <c r="U118" s="20" t="s">
        <v>60</v>
      </c>
      <c r="V118" s="20" t="s">
        <v>62</v>
      </c>
      <c r="W118" s="21"/>
      <c r="X118" s="20" t="s">
        <v>9</v>
      </c>
      <c r="Y118" s="20" t="s">
        <v>66</v>
      </c>
      <c r="Z118" s="20" t="s">
        <v>60</v>
      </c>
      <c r="AA118" s="42" t="s">
        <v>62</v>
      </c>
    </row>
    <row r="119" spans="2:27" outlineLevel="1" x14ac:dyDescent="0.2">
      <c r="D119" s="19" t="s">
        <v>16</v>
      </c>
      <c r="E119" s="19">
        <f>SUM(K127,P127,U127,Z127)</f>
        <v>0</v>
      </c>
      <c r="F119" s="19">
        <f>SUM(L127,Q127,V127,AA127)</f>
        <v>234</v>
      </c>
      <c r="G119" s="19">
        <f>SUM(E119:F119)</f>
        <v>234</v>
      </c>
      <c r="H119" s="21"/>
      <c r="I119" s="20">
        <v>1</v>
      </c>
      <c r="J119" s="20">
        <v>0</v>
      </c>
      <c r="K119" s="20"/>
      <c r="L119" s="20">
        <v>5</v>
      </c>
      <c r="M119" s="33"/>
      <c r="N119" s="20">
        <v>1</v>
      </c>
      <c r="O119" s="20">
        <v>0</v>
      </c>
      <c r="P119" s="20"/>
      <c r="Q119" s="20">
        <v>13</v>
      </c>
      <c r="R119" s="21"/>
      <c r="S119" s="20">
        <v>1</v>
      </c>
      <c r="T119" s="20">
        <v>0</v>
      </c>
      <c r="U119" s="20"/>
      <c r="V119" s="20">
        <v>8</v>
      </c>
      <c r="W119" s="21"/>
      <c r="X119" s="20">
        <v>1</v>
      </c>
      <c r="Y119" s="20">
        <v>0</v>
      </c>
      <c r="Z119" s="20">
        <v>0</v>
      </c>
      <c r="AA119" s="42">
        <v>2</v>
      </c>
    </row>
    <row r="120" spans="2:27" outlineLevel="1" x14ac:dyDescent="0.2">
      <c r="D120" s="19" t="s">
        <v>17</v>
      </c>
      <c r="E120" s="19">
        <v>0</v>
      </c>
      <c r="F120" s="19">
        <v>342</v>
      </c>
      <c r="G120" s="19">
        <f>SUM(E120:F120)</f>
        <v>342</v>
      </c>
      <c r="H120" s="21"/>
      <c r="I120" s="19">
        <v>2</v>
      </c>
      <c r="J120" s="20">
        <v>0</v>
      </c>
      <c r="K120" s="19"/>
      <c r="L120" s="19">
        <v>6</v>
      </c>
      <c r="M120" s="33"/>
      <c r="N120" s="19">
        <v>2</v>
      </c>
      <c r="O120" s="20">
        <v>0</v>
      </c>
      <c r="P120" s="19"/>
      <c r="Q120" s="19">
        <v>14</v>
      </c>
      <c r="R120" s="21"/>
      <c r="S120" s="19">
        <v>2</v>
      </c>
      <c r="T120" s="20">
        <v>0</v>
      </c>
      <c r="U120" s="19"/>
      <c r="V120" s="19">
        <v>10</v>
      </c>
      <c r="W120" s="21"/>
      <c r="X120" s="19">
        <v>2</v>
      </c>
      <c r="Y120" s="20">
        <v>0</v>
      </c>
      <c r="Z120" s="19">
        <v>0</v>
      </c>
      <c r="AA120" s="43">
        <v>4</v>
      </c>
    </row>
    <row r="121" spans="2:27" outlineLevel="1" x14ac:dyDescent="0.2">
      <c r="D121" s="19" t="s">
        <v>40</v>
      </c>
      <c r="E121" s="19"/>
      <c r="F121" s="22">
        <f>MIN(F119,F120)/MAX(F119,F120)</f>
        <v>0.68421052631578949</v>
      </c>
      <c r="G121" s="22">
        <f>MIN(G119,G120)/MAX(G119,G120)</f>
        <v>0.68421052631578949</v>
      </c>
      <c r="H121" s="21"/>
      <c r="I121" s="19">
        <v>3</v>
      </c>
      <c r="J121" s="20">
        <v>0</v>
      </c>
      <c r="K121" s="19"/>
      <c r="L121" s="19">
        <v>6</v>
      </c>
      <c r="M121" s="33"/>
      <c r="N121" s="19">
        <v>3</v>
      </c>
      <c r="O121" s="20">
        <v>0</v>
      </c>
      <c r="P121" s="19"/>
      <c r="Q121" s="19">
        <v>14</v>
      </c>
      <c r="R121" s="21"/>
      <c r="S121" s="19">
        <v>3</v>
      </c>
      <c r="T121" s="20">
        <v>0</v>
      </c>
      <c r="U121" s="19"/>
      <c r="V121" s="19">
        <v>10</v>
      </c>
      <c r="W121" s="21"/>
      <c r="X121" s="19">
        <v>3</v>
      </c>
      <c r="Y121" s="20">
        <v>0</v>
      </c>
      <c r="Z121" s="19">
        <v>0</v>
      </c>
      <c r="AA121" s="43">
        <v>4</v>
      </c>
    </row>
    <row r="122" spans="2:27" outlineLevel="1" x14ac:dyDescent="0.2">
      <c r="D122" s="38"/>
      <c r="E122" s="38"/>
      <c r="F122" s="38"/>
      <c r="G122" s="38"/>
      <c r="I122" s="20">
        <v>4</v>
      </c>
      <c r="J122" s="20">
        <v>0</v>
      </c>
      <c r="K122" s="19"/>
      <c r="L122" s="19">
        <v>6</v>
      </c>
      <c r="M122" s="33"/>
      <c r="N122" s="20">
        <v>4</v>
      </c>
      <c r="O122" s="20">
        <v>0</v>
      </c>
      <c r="P122" s="19"/>
      <c r="Q122" s="19">
        <v>14</v>
      </c>
      <c r="R122" s="21"/>
      <c r="S122" s="20">
        <v>4</v>
      </c>
      <c r="T122" s="20">
        <v>0</v>
      </c>
      <c r="U122" s="19"/>
      <c r="V122" s="19">
        <v>10</v>
      </c>
      <c r="W122" s="21"/>
      <c r="X122" s="20">
        <v>4</v>
      </c>
      <c r="Y122" s="20">
        <v>0</v>
      </c>
      <c r="Z122" s="19">
        <v>0</v>
      </c>
      <c r="AA122" s="43">
        <v>4</v>
      </c>
    </row>
    <row r="123" spans="2:27" ht="17" customHeight="1" outlineLevel="1" x14ac:dyDescent="0.2">
      <c r="D123" s="19" t="s">
        <v>0</v>
      </c>
      <c r="E123" s="20" t="s">
        <v>63</v>
      </c>
      <c r="F123" s="20" t="s">
        <v>64</v>
      </c>
      <c r="G123" s="19" t="s">
        <v>37</v>
      </c>
      <c r="H123" s="21"/>
      <c r="I123" s="20">
        <v>5</v>
      </c>
      <c r="J123" s="20">
        <v>0</v>
      </c>
      <c r="K123" s="19"/>
      <c r="L123" s="19">
        <v>6</v>
      </c>
      <c r="M123" s="33"/>
      <c r="N123" s="20">
        <v>5</v>
      </c>
      <c r="O123" s="20">
        <v>0</v>
      </c>
      <c r="P123" s="19"/>
      <c r="Q123" s="19">
        <v>14</v>
      </c>
      <c r="R123" s="21"/>
      <c r="S123" s="20">
        <v>5</v>
      </c>
      <c r="T123" s="20">
        <v>0</v>
      </c>
      <c r="U123" s="19"/>
      <c r="V123" s="19">
        <v>10</v>
      </c>
      <c r="W123" s="21"/>
      <c r="X123" s="20">
        <v>5</v>
      </c>
      <c r="Y123" s="20">
        <v>0</v>
      </c>
      <c r="Z123" s="19">
        <v>0</v>
      </c>
      <c r="AA123" s="43">
        <v>4</v>
      </c>
    </row>
    <row r="124" spans="2:27" outlineLevel="1" x14ac:dyDescent="0.2">
      <c r="D124" s="19" t="s">
        <v>16</v>
      </c>
      <c r="E124" s="19">
        <f>SUM(P127,K127)</f>
        <v>0</v>
      </c>
      <c r="F124" s="19">
        <f>SUM(Q127,L127)</f>
        <v>139</v>
      </c>
      <c r="G124" s="19">
        <f>SUM(E124:F124)</f>
        <v>139</v>
      </c>
      <c r="H124" s="21"/>
      <c r="I124" s="20">
        <v>6</v>
      </c>
      <c r="J124" s="20">
        <v>0</v>
      </c>
      <c r="K124" s="19"/>
      <c r="L124" s="19">
        <v>6</v>
      </c>
      <c r="M124" s="33"/>
      <c r="N124" s="20">
        <v>6</v>
      </c>
      <c r="O124" s="20">
        <v>0</v>
      </c>
      <c r="P124" s="19"/>
      <c r="Q124" s="19">
        <v>14</v>
      </c>
      <c r="R124" s="21"/>
      <c r="S124" s="20">
        <v>6</v>
      </c>
      <c r="T124" s="20">
        <v>0</v>
      </c>
      <c r="U124" s="19"/>
      <c r="V124" s="19">
        <v>10</v>
      </c>
      <c r="W124" s="21"/>
      <c r="X124" s="20">
        <v>6</v>
      </c>
      <c r="Y124" s="20">
        <v>0</v>
      </c>
      <c r="Z124" s="19">
        <v>0</v>
      </c>
      <c r="AA124" s="43">
        <v>4</v>
      </c>
    </row>
    <row r="125" spans="2:27" outlineLevel="1" x14ac:dyDescent="0.2">
      <c r="B125" s="74" t="s">
        <v>87</v>
      </c>
      <c r="D125" s="19" t="s">
        <v>17</v>
      </c>
      <c r="E125" s="19">
        <v>0</v>
      </c>
      <c r="F125" s="19">
        <v>212</v>
      </c>
      <c r="G125" s="19">
        <f>SUM(E125:F125)</f>
        <v>212</v>
      </c>
      <c r="H125" s="21"/>
      <c r="I125" s="20">
        <v>7</v>
      </c>
      <c r="J125" s="20">
        <f>SUM(K125,L125)</f>
        <v>0</v>
      </c>
      <c r="K125" s="19"/>
      <c r="L125" s="19">
        <v>0</v>
      </c>
      <c r="M125" s="33"/>
      <c r="N125" s="20">
        <v>7</v>
      </c>
      <c r="O125" s="20">
        <f>SUM(P125,Q125)</f>
        <v>0</v>
      </c>
      <c r="P125" s="19"/>
      <c r="Q125" s="19">
        <v>0</v>
      </c>
      <c r="R125" s="21"/>
      <c r="S125" s="20">
        <v>7</v>
      </c>
      <c r="T125" s="20">
        <f>SUM(U125,V125)</f>
        <v>0</v>
      </c>
      <c r="U125" s="19"/>
      <c r="V125" s="19">
        <v>0</v>
      </c>
      <c r="W125" s="21"/>
      <c r="X125" s="20">
        <v>7</v>
      </c>
      <c r="Y125" s="20">
        <f>SUM(Z125,AA125)</f>
        <v>0</v>
      </c>
      <c r="Z125" s="19">
        <v>0</v>
      </c>
      <c r="AA125" s="43">
        <v>0</v>
      </c>
    </row>
    <row r="126" spans="2:27" x14ac:dyDescent="0.2">
      <c r="D126" s="19" t="s">
        <v>40</v>
      </c>
      <c r="E126" s="22"/>
      <c r="F126" s="22">
        <f>MIN(F124,F125)/MAX(F124,F125)</f>
        <v>0.65566037735849059</v>
      </c>
      <c r="G126" s="22">
        <f>MIN(G124,G125)/MAX(G124,G125)</f>
        <v>0.65566037735849059</v>
      </c>
      <c r="H126" s="21"/>
      <c r="I126" s="19" t="s">
        <v>10</v>
      </c>
      <c r="J126" s="20">
        <v>0</v>
      </c>
      <c r="K126" s="19"/>
      <c r="L126" s="19">
        <v>6</v>
      </c>
      <c r="M126" s="33"/>
      <c r="N126" s="19" t="s">
        <v>10</v>
      </c>
      <c r="O126" s="20">
        <v>0</v>
      </c>
      <c r="P126" s="19"/>
      <c r="Q126" s="19">
        <v>15</v>
      </c>
      <c r="R126" s="21"/>
      <c r="S126" s="19" t="s">
        <v>10</v>
      </c>
      <c r="T126" s="20">
        <v>0</v>
      </c>
      <c r="U126" s="19"/>
      <c r="V126" s="19">
        <v>10</v>
      </c>
      <c r="W126" s="21"/>
      <c r="X126" s="19" t="s">
        <v>10</v>
      </c>
      <c r="Y126" s="20">
        <v>0</v>
      </c>
      <c r="Z126" s="19">
        <v>0</v>
      </c>
      <c r="AA126" s="43">
        <v>5</v>
      </c>
    </row>
    <row r="127" spans="2:27" x14ac:dyDescent="0.2">
      <c r="D127" s="38"/>
      <c r="E127" s="38"/>
      <c r="F127" s="38"/>
      <c r="G127" s="38"/>
      <c r="I127" s="19" t="s">
        <v>13</v>
      </c>
      <c r="J127" s="19">
        <f>(SUM(J119:J126))</f>
        <v>0</v>
      </c>
      <c r="K127" s="19">
        <f>(SUM(K119:K126))</f>
        <v>0</v>
      </c>
      <c r="L127" s="19">
        <f>(SUM(L119:L126))</f>
        <v>41</v>
      </c>
      <c r="M127" s="33"/>
      <c r="N127" s="19" t="s">
        <v>13</v>
      </c>
      <c r="O127" s="19">
        <f>(SUM(O119:O126))</f>
        <v>0</v>
      </c>
      <c r="P127" s="19">
        <f>(SUM(P119:P126))</f>
        <v>0</v>
      </c>
      <c r="Q127" s="19">
        <f>(SUM(Q119:Q126))</f>
        <v>98</v>
      </c>
      <c r="R127" s="21"/>
      <c r="S127" s="19" t="s">
        <v>13</v>
      </c>
      <c r="T127" s="19">
        <f>(SUM(T119:T126))</f>
        <v>0</v>
      </c>
      <c r="U127" s="19">
        <f>(SUM(U119:U126))</f>
        <v>0</v>
      </c>
      <c r="V127" s="19">
        <f>(SUM(V119:V126))</f>
        <v>68</v>
      </c>
      <c r="W127" s="21"/>
      <c r="X127" s="19" t="s">
        <v>13</v>
      </c>
      <c r="Y127" s="19">
        <f>(SUM(Y119:Y126))</f>
        <v>0</v>
      </c>
      <c r="Z127" s="19">
        <f>(SUM(Z119:Z126))</f>
        <v>0</v>
      </c>
      <c r="AA127" s="43">
        <f>(SUM(AA119:AA126))</f>
        <v>27</v>
      </c>
    </row>
    <row r="128" spans="2:27" x14ac:dyDescent="0.2">
      <c r="I128" s="38"/>
      <c r="J128" s="38"/>
      <c r="K128" s="38"/>
      <c r="L128" s="38"/>
      <c r="M128" s="1"/>
      <c r="N128" s="38"/>
      <c r="O128" s="38"/>
      <c r="P128" s="38"/>
      <c r="Q128" s="38"/>
      <c r="S128" s="38"/>
      <c r="T128" s="38"/>
      <c r="U128" s="38"/>
      <c r="V128" s="38"/>
      <c r="X128" s="38"/>
      <c r="Y128" s="38"/>
      <c r="Z128" s="38"/>
      <c r="AA128" s="38"/>
    </row>
    <row r="129" spans="4:27" ht="16" thickBot="1" x14ac:dyDescent="0.25">
      <c r="D129" s="1"/>
      <c r="E129" s="1"/>
      <c r="F129" s="1"/>
      <c r="G129" s="1"/>
      <c r="H129" s="1"/>
      <c r="I129" s="1"/>
      <c r="J129" s="1"/>
      <c r="K129" s="1"/>
      <c r="L129" s="1"/>
      <c r="M129" s="1"/>
    </row>
    <row r="130" spans="4:27" x14ac:dyDescent="0.2">
      <c r="D130" s="81" t="s">
        <v>78</v>
      </c>
      <c r="E130" s="82"/>
      <c r="F130" s="82"/>
      <c r="G130" s="83"/>
      <c r="I130" s="1"/>
      <c r="J130" s="1"/>
      <c r="K130" s="1"/>
      <c r="L130" s="1"/>
      <c r="M130" s="1"/>
      <c r="N130" s="1"/>
      <c r="O130" s="1"/>
      <c r="P130" s="1"/>
      <c r="Q130" s="1"/>
      <c r="S130" s="1"/>
      <c r="T130" s="1"/>
      <c r="U130" s="1"/>
      <c r="V130" s="1"/>
      <c r="X130" s="1"/>
      <c r="Y130" s="1"/>
      <c r="Z130" s="1"/>
      <c r="AA130" s="1"/>
    </row>
    <row r="131" spans="4:27" ht="16" x14ac:dyDescent="0.2">
      <c r="D131" s="18" t="s">
        <v>38</v>
      </c>
      <c r="E131" s="19" t="s">
        <v>60</v>
      </c>
      <c r="F131" s="20" t="s">
        <v>61</v>
      </c>
      <c r="G131" s="68" t="s">
        <v>43</v>
      </c>
      <c r="M131" s="1"/>
    </row>
    <row r="132" spans="4:27" x14ac:dyDescent="0.2">
      <c r="D132" s="18" t="s">
        <v>16</v>
      </c>
      <c r="E132" s="19">
        <f>SUM(E119,E105,E91,E77,E63,E49,E35,E21,E7)</f>
        <v>0</v>
      </c>
      <c r="F132" s="19">
        <f>SUM(F119,F105,F91,F77,F63,F49,F35,F21,F7)</f>
        <v>969</v>
      </c>
      <c r="G132" s="68">
        <f>SUM(E132:F132)</f>
        <v>969</v>
      </c>
      <c r="I132" s="1"/>
      <c r="J132" s="1"/>
      <c r="K132" s="1"/>
      <c r="L132" s="1"/>
      <c r="M132" s="1"/>
      <c r="N132" s="1"/>
      <c r="O132" s="1"/>
      <c r="P132" s="1"/>
      <c r="Q132" s="1"/>
      <c r="S132" s="1"/>
      <c r="T132" s="1"/>
      <c r="U132" s="1"/>
      <c r="V132" s="1"/>
      <c r="X132" s="1"/>
      <c r="Y132" s="1"/>
      <c r="Z132" s="1"/>
      <c r="AA132" s="1"/>
    </row>
    <row r="133" spans="4:27" x14ac:dyDescent="0.2">
      <c r="D133" s="18" t="s">
        <v>17</v>
      </c>
      <c r="E133" s="19">
        <f>SUM(E120,E106,E92,E78,E64,E50,E36,E22,E8)</f>
        <v>0</v>
      </c>
      <c r="F133" s="19">
        <f>SUM(F120,F106,F92,F78,F64,F50,F36,F22,F8)</f>
        <v>1138.3</v>
      </c>
      <c r="G133" s="68">
        <f>SUM(E133:F133)</f>
        <v>1138.3</v>
      </c>
      <c r="I133" s="1"/>
      <c r="J133" s="1"/>
      <c r="K133" s="1"/>
      <c r="L133" s="1"/>
      <c r="M133" s="1"/>
      <c r="N133" s="1"/>
      <c r="O133" s="1"/>
      <c r="P133" s="1"/>
      <c r="Q133" s="1"/>
      <c r="S133" s="1"/>
      <c r="T133" s="1"/>
      <c r="U133" s="1"/>
      <c r="V133" s="1"/>
      <c r="X133" s="1"/>
      <c r="Y133" s="1"/>
      <c r="Z133" s="1"/>
      <c r="AA133" s="1"/>
    </row>
    <row r="134" spans="4:27" x14ac:dyDescent="0.2">
      <c r="D134" s="18" t="s">
        <v>40</v>
      </c>
      <c r="E134" s="22"/>
      <c r="F134" s="22">
        <f>MIN(F132,F133)/MAX(F132,F133)</f>
        <v>0.85126943687955725</v>
      </c>
      <c r="G134" s="29">
        <f>MIN(G132,G133)/MAX(G132,G133)</f>
        <v>0.85126943687955725</v>
      </c>
      <c r="J134" s="1"/>
      <c r="M134" s="1"/>
      <c r="O134" s="1"/>
      <c r="T134" s="1"/>
      <c r="Y134" s="1"/>
    </row>
    <row r="135" spans="4:27" x14ac:dyDescent="0.2">
      <c r="D135" s="18"/>
      <c r="E135" s="19"/>
      <c r="F135" s="19"/>
      <c r="G135" s="68"/>
      <c r="J135" s="1"/>
      <c r="M135" s="1"/>
      <c r="O135" s="1"/>
      <c r="T135" s="1"/>
      <c r="Y135" s="1"/>
    </row>
    <row r="136" spans="4:27" ht="17" customHeight="1" x14ac:dyDescent="0.2">
      <c r="D136" s="18" t="s">
        <v>39</v>
      </c>
      <c r="E136" s="20" t="s">
        <v>63</v>
      </c>
      <c r="F136" s="20" t="s">
        <v>64</v>
      </c>
      <c r="G136" s="69" t="s">
        <v>37</v>
      </c>
      <c r="I136" s="1"/>
      <c r="J136" s="1"/>
      <c r="M136" s="1"/>
      <c r="N136" s="1"/>
      <c r="O136" s="1"/>
      <c r="S136" s="1"/>
      <c r="T136" s="1"/>
      <c r="X136" s="1"/>
      <c r="Y136" s="1"/>
    </row>
    <row r="137" spans="4:27" x14ac:dyDescent="0.2">
      <c r="D137" s="18" t="s">
        <v>16</v>
      </c>
      <c r="E137" s="19">
        <f>SUM(E124,E110,E96,E82,E68,E54,E40,E26,E12)</f>
        <v>0</v>
      </c>
      <c r="F137" s="19">
        <f>SUM(F124,F110,F96,F82,F68,F54,F40,F26,F12)</f>
        <v>570</v>
      </c>
      <c r="G137" s="68">
        <f>SUM(E137:F137)</f>
        <v>570</v>
      </c>
      <c r="I137" s="1"/>
      <c r="J137" s="1"/>
      <c r="M137" s="1"/>
      <c r="N137" s="1"/>
      <c r="O137" s="1"/>
      <c r="S137" s="1"/>
      <c r="T137" s="1"/>
      <c r="X137" s="1"/>
      <c r="Y137" s="1"/>
    </row>
    <row r="138" spans="4:27" x14ac:dyDescent="0.2">
      <c r="D138" s="18" t="s">
        <v>17</v>
      </c>
      <c r="E138" s="19">
        <f>SUM(E125,E112,E98,E83,E69,E55)</f>
        <v>0</v>
      </c>
      <c r="F138" s="19">
        <f>SUM(F125,F111,F97,F83,F69,F55,F41,F27,F13)</f>
        <v>593</v>
      </c>
      <c r="G138" s="27">
        <f>SUM(E138:F138)</f>
        <v>593</v>
      </c>
      <c r="I138" s="1"/>
      <c r="J138" s="1"/>
      <c r="M138" s="1"/>
      <c r="N138" s="1"/>
      <c r="O138" s="1"/>
      <c r="S138" s="1"/>
      <c r="T138" s="1"/>
      <c r="X138" s="1"/>
      <c r="Y138" s="1"/>
    </row>
    <row r="139" spans="4:27" ht="16" thickBot="1" x14ac:dyDescent="0.25">
      <c r="D139" s="18" t="s">
        <v>40</v>
      </c>
      <c r="E139" s="22"/>
      <c r="F139" s="22">
        <f>MIN(F137,F138)/MAX(F137,F138)</f>
        <v>0.96121416526138281</v>
      </c>
      <c r="G139" s="70">
        <f>MIN(G137,G138)/MAX(G137,G138)</f>
        <v>0.96121416526138281</v>
      </c>
      <c r="I139" s="1"/>
      <c r="J139" s="1"/>
      <c r="M139" s="1"/>
      <c r="N139" s="1"/>
      <c r="O139" s="1"/>
      <c r="S139" s="1"/>
      <c r="T139" s="1"/>
      <c r="X139" s="1"/>
      <c r="Y139" s="1"/>
    </row>
    <row r="140" spans="4:27" x14ac:dyDescent="0.2">
      <c r="D140" s="25"/>
      <c r="E140" s="59"/>
      <c r="F140" s="59"/>
      <c r="G140" s="59"/>
      <c r="J140" s="1"/>
      <c r="M140" s="1"/>
      <c r="O140" s="1"/>
      <c r="T140" s="1"/>
      <c r="Y140" s="1"/>
    </row>
    <row r="141" spans="4:27" x14ac:dyDescent="0.2">
      <c r="M141" s="1"/>
    </row>
    <row r="145" spans="2:5" x14ac:dyDescent="0.2">
      <c r="B145" s="7" t="s">
        <v>5</v>
      </c>
      <c r="D145" s="6" t="s">
        <v>14</v>
      </c>
      <c r="E145" s="6">
        <v>1</v>
      </c>
    </row>
    <row r="146" spans="2:5" x14ac:dyDescent="0.2">
      <c r="B146" s="7" t="s">
        <v>6</v>
      </c>
      <c r="D146" s="6" t="s">
        <v>15</v>
      </c>
      <c r="E146" s="6">
        <v>2</v>
      </c>
    </row>
    <row r="147" spans="2:5" x14ac:dyDescent="0.2">
      <c r="B147" s="7" t="s">
        <v>7</v>
      </c>
      <c r="E147" s="6">
        <v>3</v>
      </c>
    </row>
    <row r="148" spans="2:5" x14ac:dyDescent="0.2">
      <c r="B148" s="7" t="s">
        <v>8</v>
      </c>
      <c r="E148" s="6">
        <v>4</v>
      </c>
    </row>
    <row r="149" spans="2:5" x14ac:dyDescent="0.2">
      <c r="E149" s="6">
        <v>5</v>
      </c>
    </row>
    <row r="150" spans="2:5" x14ac:dyDescent="0.2">
      <c r="E150" s="6">
        <v>6</v>
      </c>
    </row>
    <row r="151" spans="2:5" x14ac:dyDescent="0.2">
      <c r="E151" s="6">
        <v>7</v>
      </c>
    </row>
    <row r="152" spans="2:5" x14ac:dyDescent="0.2">
      <c r="E152" s="6">
        <v>8</v>
      </c>
    </row>
    <row r="153" spans="2:5" x14ac:dyDescent="0.2">
      <c r="E153" s="6">
        <v>9</v>
      </c>
    </row>
    <row r="154" spans="2:5" x14ac:dyDescent="0.2">
      <c r="E154" s="6">
        <v>10</v>
      </c>
    </row>
    <row r="155" spans="2:5" x14ac:dyDescent="0.2">
      <c r="E155" s="6">
        <v>11</v>
      </c>
    </row>
    <row r="156" spans="2:5" x14ac:dyDescent="0.2">
      <c r="E156" s="6">
        <v>12</v>
      </c>
    </row>
  </sheetData>
  <mergeCells count="6">
    <mergeCell ref="D130:G130"/>
    <mergeCell ref="Z1:AA1"/>
    <mergeCell ref="B36:B37"/>
    <mergeCell ref="B13:B14"/>
    <mergeCell ref="B78:B79"/>
    <mergeCell ref="B110:B111"/>
  </mergeCells>
  <conditionalFormatting sqref="E9:G9">
    <cfRule type="colorScale" priority="26">
      <colorScale>
        <cfvo type="num" val="0"/>
        <cfvo type="num" val="0.75"/>
        <cfvo type="num" val="1"/>
        <color rgb="FFFF7128"/>
        <color rgb="FFFFEB84"/>
        <color theme="9" tint="-0.249977111117893"/>
      </colorScale>
    </cfRule>
  </conditionalFormatting>
  <conditionalFormatting sqref="E37:G37">
    <cfRule type="colorScale" priority="16">
      <colorScale>
        <cfvo type="num" val="0"/>
        <cfvo type="num" val="0.75"/>
        <cfvo type="num" val="1"/>
        <color rgb="FFFF7128"/>
        <color rgb="FFFFEB84"/>
        <color theme="9" tint="-0.249977111117893"/>
      </colorScale>
    </cfRule>
  </conditionalFormatting>
  <conditionalFormatting sqref="E134:G134">
    <cfRule type="colorScale" priority="2">
      <colorScale>
        <cfvo type="num" val="0"/>
        <cfvo type="num" val="0.75"/>
        <cfvo type="num" val="1"/>
        <color rgb="FFFF7128"/>
        <color rgb="FFFFEB84"/>
        <color theme="9" tint="-0.249977111117893"/>
      </colorScale>
    </cfRule>
  </conditionalFormatting>
  <conditionalFormatting sqref="E139:G139">
    <cfRule type="colorScale" priority="1">
      <colorScale>
        <cfvo type="num" val="0"/>
        <cfvo type="num" val="0.75"/>
        <cfvo type="num" val="1"/>
        <color rgb="FFFF7128"/>
        <color rgb="FFFFEB84"/>
        <color theme="9" tint="-0.249977111117893"/>
      </colorScale>
    </cfRule>
  </conditionalFormatting>
  <conditionalFormatting sqref="F93">
    <cfRule type="colorScale" priority="5">
      <colorScale>
        <cfvo type="num" val="0"/>
        <cfvo type="num" val="0.75"/>
        <cfvo type="num" val="1"/>
        <color rgb="FFFF7128"/>
        <color rgb="FFFFEB84"/>
        <color theme="9" tint="-0.249977111117893"/>
      </colorScale>
    </cfRule>
  </conditionalFormatting>
  <conditionalFormatting sqref="F14:G14">
    <cfRule type="colorScale" priority="27">
      <colorScale>
        <cfvo type="num" val="0"/>
        <cfvo type="num" val="0.75"/>
        <cfvo type="num" val="1"/>
        <color rgb="FFFF7128"/>
        <color rgb="FFFFEB84"/>
        <color theme="9" tint="-0.249977111117893"/>
      </colorScale>
    </cfRule>
  </conditionalFormatting>
  <conditionalFormatting sqref="F23:G23">
    <cfRule type="colorScale" priority="8">
      <colorScale>
        <cfvo type="num" val="0"/>
        <cfvo type="num" val="0.75"/>
        <cfvo type="num" val="1"/>
        <color rgb="FFFF7128"/>
        <color rgb="FFFFEB84"/>
        <color theme="9" tint="-0.249977111117893"/>
      </colorScale>
    </cfRule>
  </conditionalFormatting>
  <conditionalFormatting sqref="F28:G28">
    <cfRule type="colorScale" priority="24">
      <colorScale>
        <cfvo type="num" val="0"/>
        <cfvo type="num" val="0.75"/>
        <cfvo type="num" val="1"/>
        <color rgb="FFFF7128"/>
        <color rgb="FFFFEB84"/>
        <color theme="9" tint="-0.249977111117893"/>
      </colorScale>
    </cfRule>
  </conditionalFormatting>
  <conditionalFormatting sqref="F42:G42">
    <cfRule type="colorScale" priority="23">
      <colorScale>
        <cfvo type="num" val="0"/>
        <cfvo type="num" val="0.75"/>
        <cfvo type="num" val="1"/>
        <color rgb="FFFF7128"/>
        <color rgb="FFFFEB84"/>
        <color theme="9" tint="-0.249977111117893"/>
      </colorScale>
    </cfRule>
  </conditionalFormatting>
  <conditionalFormatting sqref="F51:G51">
    <cfRule type="colorScale" priority="15">
      <colorScale>
        <cfvo type="num" val="0"/>
        <cfvo type="num" val="0.75"/>
        <cfvo type="num" val="1"/>
        <color rgb="FFFF7128"/>
        <color rgb="FFFFEB84"/>
        <color theme="9" tint="-0.249977111117893"/>
      </colorScale>
    </cfRule>
  </conditionalFormatting>
  <conditionalFormatting sqref="F56:G56">
    <cfRule type="colorScale" priority="22">
      <colorScale>
        <cfvo type="num" val="0"/>
        <cfvo type="num" val="0.75"/>
        <cfvo type="num" val="1"/>
        <color rgb="FFFF7128"/>
        <color rgb="FFFFEB84"/>
        <color theme="9" tint="-0.249977111117893"/>
      </colorScale>
    </cfRule>
  </conditionalFormatting>
  <conditionalFormatting sqref="F65:G65">
    <cfRule type="colorScale" priority="13">
      <colorScale>
        <cfvo type="num" val="0"/>
        <cfvo type="num" val="0.75"/>
        <cfvo type="num" val="1"/>
        <color rgb="FFFF7128"/>
        <color rgb="FFFFEB84"/>
        <color theme="9" tint="-0.249977111117893"/>
      </colorScale>
    </cfRule>
  </conditionalFormatting>
  <conditionalFormatting sqref="F70:G70">
    <cfRule type="colorScale" priority="20">
      <colorScale>
        <cfvo type="num" val="0"/>
        <cfvo type="num" val="0.75"/>
        <cfvo type="num" val="1"/>
        <color rgb="FFFF7128"/>
        <color rgb="FFFFEB84"/>
        <color theme="9" tint="-0.249977111117893"/>
      </colorScale>
    </cfRule>
  </conditionalFormatting>
  <conditionalFormatting sqref="F79:G79">
    <cfRule type="colorScale" priority="12">
      <colorScale>
        <cfvo type="num" val="0"/>
        <cfvo type="num" val="0.75"/>
        <cfvo type="num" val="1"/>
        <color rgb="FFFF7128"/>
        <color rgb="FFFFEB84"/>
        <color theme="9" tint="-0.249977111117893"/>
      </colorScale>
    </cfRule>
  </conditionalFormatting>
  <conditionalFormatting sqref="F84:G84">
    <cfRule type="colorScale" priority="19">
      <colorScale>
        <cfvo type="num" val="0"/>
        <cfvo type="num" val="0.75"/>
        <cfvo type="num" val="1"/>
        <color rgb="FFFF7128"/>
        <color rgb="FFFFEB84"/>
        <color theme="9" tint="-0.249977111117893"/>
      </colorScale>
    </cfRule>
  </conditionalFormatting>
  <conditionalFormatting sqref="F98:G98">
    <cfRule type="colorScale" priority="7">
      <colorScale>
        <cfvo type="num" val="0"/>
        <cfvo type="num" val="0.75"/>
        <cfvo type="num" val="1"/>
        <color rgb="FFFF7128"/>
        <color rgb="FFFFEB84"/>
        <color theme="9" tint="-0.249977111117893"/>
      </colorScale>
    </cfRule>
  </conditionalFormatting>
  <conditionalFormatting sqref="F107:G107">
    <cfRule type="colorScale" priority="11">
      <colorScale>
        <cfvo type="num" val="0"/>
        <cfvo type="num" val="0.75"/>
        <cfvo type="num" val="1"/>
        <color rgb="FFFF7128"/>
        <color rgb="FFFFEB84"/>
        <color theme="9" tint="-0.249977111117893"/>
      </colorScale>
    </cfRule>
  </conditionalFormatting>
  <conditionalFormatting sqref="F112:G112">
    <cfRule type="colorScale" priority="18">
      <colorScale>
        <cfvo type="num" val="0"/>
        <cfvo type="num" val="0.75"/>
        <cfvo type="num" val="1"/>
        <color rgb="FFFF7128"/>
        <color rgb="FFFFEB84"/>
        <color theme="9" tint="-0.249977111117893"/>
      </colorScale>
    </cfRule>
  </conditionalFormatting>
  <conditionalFormatting sqref="F121:G121">
    <cfRule type="colorScale" priority="9">
      <colorScale>
        <cfvo type="num" val="0"/>
        <cfvo type="num" val="0.75"/>
        <cfvo type="num" val="1"/>
        <color rgb="FFFF7128"/>
        <color rgb="FFFFEB84"/>
        <color theme="9" tint="-0.249977111117893"/>
      </colorScale>
    </cfRule>
  </conditionalFormatting>
  <conditionalFormatting sqref="F126:G126">
    <cfRule type="colorScale" priority="10">
      <colorScale>
        <cfvo type="num" val="0"/>
        <cfvo type="num" val="0.75"/>
        <cfvo type="num" val="1"/>
        <color rgb="FFFF7128"/>
        <color rgb="FFFFEB84"/>
        <color theme="9" tint="-0.249977111117893"/>
      </colorScale>
    </cfRule>
  </conditionalFormatting>
  <conditionalFormatting sqref="F140:G140">
    <cfRule type="colorScale" priority="4">
      <colorScale>
        <cfvo type="num" val="0"/>
        <cfvo type="num" val="0.75"/>
        <cfvo type="num" val="1"/>
        <color rgb="FFFF7128"/>
        <color rgb="FFFFEB84"/>
        <color theme="9" tint="-0.249977111117893"/>
      </colorScale>
    </cfRule>
  </conditionalFormatting>
  <conditionalFormatting sqref="G93">
    <cfRule type="colorScale" priority="6">
      <colorScale>
        <cfvo type="num" val="0"/>
        <cfvo type="num" val="0.75"/>
        <cfvo type="num" val="1"/>
        <color rgb="FFFF7128"/>
        <color rgb="FFFFEB84"/>
        <color theme="9" tint="-0.249977111117893"/>
      </colorScale>
    </cfRule>
  </conditionalFormatting>
  <dataValidations count="3">
    <dataValidation type="list" allowBlank="1" showInputMessage="1" showErrorMessage="1" sqref="L4 L88 Q88 V88 AA88 L74 Q74 V74 AA74 L60 Q60 V60 AA60 L46 Q46 V46 AA46 Q4 L18 Q18 V18 AA18 L32 Q32 V32 AA32 L102 Q102 V102 AA102 L116 Q116 V116 AA116 L130 Q130 V130 AA130" xr:uid="{E1FCC6B0-4B55-5E47-A51B-2E22DCBDDDE1}">
      <formula1>$D$145:$D$146</formula1>
    </dataValidation>
    <dataValidation type="list" allowBlank="1" showInputMessage="1" showErrorMessage="1" sqref="J4 J88 O88 T88 Y88 J74 O74 T74 Y74 J60 O60 T60 Y60 J46 O46 T46 Y46 O4 J18 O18 T18 Y18 J32 O32 T32 Y32 J102 O102 T102 Y102 J116 O116 T116 Y116 J130 O130 T130 Y130" xr:uid="{B31DEB36-3438-A846-8022-90B0C9DABFEE}">
      <formula1>$E$145:$E$156</formula1>
    </dataValidation>
    <dataValidation type="list" allowBlank="1" showInputMessage="1" showErrorMessage="1" sqref="J5 Y131 T131 O131 J131 Y89 T89 O89 J89 Y33 T33 O33 J33 Y19 T19 O19 J19 O5 Y47 T47 O47 J47 Y61 T61 O61 J61 Y75 T75 O75 J75 Y103 T103 O103 J103 Y117 T117 O117 J117" xr:uid="{00299312-8DD9-674F-891A-62758BF55830}">
      <formula1>$B$145:$B$148</formula1>
    </dataValidation>
  </dataValidations>
  <pageMargins left="0.7" right="0.7" top="0.78740157499999996" bottom="0.78740157499999996" header="0.3" footer="0.3"/>
  <pageSetup paperSize="9" scale="34"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7BEF-FE74-B44E-9190-DA5FB2E636F3}">
  <sheetPr>
    <pageSetUpPr fitToPage="1"/>
  </sheetPr>
  <dimension ref="A1:AJ118"/>
  <sheetViews>
    <sheetView zoomScale="75" zoomScaleNormal="84" zoomScalePageLayoutView="50" workbookViewId="0">
      <selection sqref="A1:AA1"/>
    </sheetView>
  </sheetViews>
  <sheetFormatPr baseColWidth="10" defaultRowHeight="15" outlineLevelRow="1" x14ac:dyDescent="0.2"/>
  <cols>
    <col min="1" max="1" width="14.1640625" style="6" customWidth="1"/>
    <col min="2" max="2" width="8.83203125" style="7" customWidth="1"/>
    <col min="3" max="3" width="3.83203125" style="6" customWidth="1"/>
    <col min="4" max="4" width="14.83203125" style="6" customWidth="1"/>
    <col min="5" max="5" width="9.1640625" style="6" customWidth="1"/>
    <col min="6" max="6" width="15.5" style="6" customWidth="1"/>
    <col min="7" max="7" width="11.6640625" style="6" customWidth="1"/>
    <col min="8" max="8" width="3" style="6" customWidth="1"/>
    <col min="9" max="9" width="11.5" style="6" customWidth="1"/>
    <col min="10" max="10" width="7.6640625" style="6" customWidth="1"/>
    <col min="11" max="11" width="7.83203125" style="6" customWidth="1"/>
    <col min="12" max="12" width="9.33203125" style="6" customWidth="1"/>
    <col min="13" max="13" width="3.33203125" style="6" customWidth="1"/>
    <col min="14" max="14" width="11.33203125" style="6" customWidth="1"/>
    <col min="15" max="15" width="7.6640625" style="6" customWidth="1"/>
    <col min="16" max="16" width="7.33203125" style="6" customWidth="1"/>
    <col min="17" max="17" width="10.33203125" style="6" customWidth="1"/>
    <col min="18" max="18" width="3.33203125" style="6" customWidth="1"/>
    <col min="19" max="19" width="12" style="6" customWidth="1"/>
    <col min="20" max="21" width="7.33203125" style="6" customWidth="1"/>
    <col min="22" max="22" width="10.1640625" style="6" customWidth="1"/>
    <col min="23" max="23" width="3.1640625" style="6" customWidth="1"/>
    <col min="24" max="24" width="11.6640625" style="6" customWidth="1"/>
    <col min="25" max="25" width="7.1640625" style="6" customWidth="1"/>
    <col min="26" max="26" width="8.33203125" style="6" customWidth="1"/>
    <col min="27" max="27" width="10.33203125" style="6" customWidth="1"/>
    <col min="28" max="28" width="2.5" style="6" customWidth="1"/>
    <col min="29" max="16384" width="10.83203125" style="6"/>
  </cols>
  <sheetData>
    <row r="1" spans="1:28" ht="41" customHeight="1" x14ac:dyDescent="0.2">
      <c r="A1" s="32" t="s">
        <v>0</v>
      </c>
      <c r="B1" s="40" t="s">
        <v>68</v>
      </c>
      <c r="C1" s="32"/>
      <c r="D1" s="32"/>
      <c r="E1" s="32"/>
      <c r="F1" s="32"/>
      <c r="G1" s="32"/>
      <c r="H1" s="32"/>
      <c r="I1" s="60"/>
      <c r="J1" s="32"/>
      <c r="K1" s="32"/>
      <c r="L1" s="32"/>
      <c r="M1" s="32"/>
      <c r="N1" s="32"/>
      <c r="O1" s="32"/>
      <c r="P1" s="32"/>
      <c r="Q1" s="32"/>
      <c r="R1" s="32"/>
      <c r="S1" s="32"/>
      <c r="T1" s="32"/>
      <c r="U1" s="32"/>
      <c r="V1" s="32"/>
      <c r="W1" s="32"/>
      <c r="X1" s="32"/>
      <c r="Y1" s="32"/>
      <c r="Z1" s="76" t="s">
        <v>82</v>
      </c>
      <c r="AA1" s="76"/>
    </row>
    <row r="2" spans="1:28" ht="19" customHeight="1" x14ac:dyDescent="0.2">
      <c r="B2" s="2"/>
      <c r="C2" s="1"/>
      <c r="D2" s="1"/>
      <c r="E2" s="1"/>
      <c r="F2" s="1"/>
      <c r="G2" s="1"/>
      <c r="H2" s="1"/>
      <c r="I2" s="1"/>
      <c r="J2" s="1"/>
      <c r="K2" s="1"/>
      <c r="L2" s="1"/>
      <c r="M2" s="1"/>
    </row>
    <row r="3" spans="1:28" ht="15" customHeight="1" x14ac:dyDescent="0.2">
      <c r="A3" s="1" t="s">
        <v>30</v>
      </c>
      <c r="B3" s="2">
        <v>153</v>
      </c>
      <c r="C3" s="1"/>
      <c r="D3" s="1"/>
      <c r="E3" s="1"/>
      <c r="F3" s="1"/>
      <c r="G3" s="1"/>
      <c r="H3" s="1"/>
      <c r="I3" s="1"/>
      <c r="J3" s="1"/>
      <c r="K3" s="1"/>
      <c r="L3" s="1"/>
      <c r="M3" s="1"/>
    </row>
    <row r="4" spans="1:28" ht="18" customHeight="1" outlineLevel="1" x14ac:dyDescent="0.2">
      <c r="A4" s="1"/>
      <c r="I4" s="20" t="s">
        <v>77</v>
      </c>
      <c r="J4" s="20">
        <v>1</v>
      </c>
      <c r="K4" s="20" t="s">
        <v>12</v>
      </c>
      <c r="L4" s="20" t="s">
        <v>15</v>
      </c>
      <c r="M4" s="33"/>
      <c r="N4" s="20" t="s">
        <v>77</v>
      </c>
      <c r="O4" s="20">
        <v>2</v>
      </c>
      <c r="P4" s="20" t="s">
        <v>12</v>
      </c>
      <c r="Q4" s="20" t="s">
        <v>15</v>
      </c>
      <c r="R4" s="21"/>
      <c r="S4" s="20" t="s">
        <v>77</v>
      </c>
      <c r="T4" s="20">
        <v>3</v>
      </c>
      <c r="U4" s="20" t="s">
        <v>12</v>
      </c>
      <c r="V4" s="20" t="s">
        <v>14</v>
      </c>
      <c r="W4" s="21"/>
      <c r="X4" s="20" t="s">
        <v>77</v>
      </c>
      <c r="Y4" s="20">
        <v>4</v>
      </c>
      <c r="Z4" s="20" t="s">
        <v>12</v>
      </c>
      <c r="AA4" s="20" t="s">
        <v>14</v>
      </c>
      <c r="AB4" s="21"/>
    </row>
    <row r="5" spans="1:28" outlineLevel="1" x14ac:dyDescent="0.2">
      <c r="A5" s="1"/>
      <c r="I5" s="19" t="s">
        <v>11</v>
      </c>
      <c r="J5" s="35" t="s">
        <v>5</v>
      </c>
      <c r="K5" s="19"/>
      <c r="L5" s="19"/>
      <c r="M5" s="33"/>
      <c r="N5" s="19" t="s">
        <v>11</v>
      </c>
      <c r="O5" s="35" t="s">
        <v>6</v>
      </c>
      <c r="P5" s="19"/>
      <c r="Q5" s="19"/>
      <c r="R5" s="21"/>
      <c r="S5" s="19" t="s">
        <v>11</v>
      </c>
      <c r="T5" s="35" t="s">
        <v>8</v>
      </c>
      <c r="U5" s="19"/>
      <c r="V5" s="19"/>
      <c r="W5" s="21"/>
      <c r="X5" s="19" t="s">
        <v>11</v>
      </c>
      <c r="Y5" s="35" t="s">
        <v>7</v>
      </c>
      <c r="Z5" s="19"/>
      <c r="AA5" s="19"/>
      <c r="AB5" s="21"/>
    </row>
    <row r="6" spans="1:28" ht="17" customHeight="1" outlineLevel="1" x14ac:dyDescent="0.2">
      <c r="A6" s="1"/>
      <c r="D6" s="19"/>
      <c r="E6" s="19" t="s">
        <v>60</v>
      </c>
      <c r="F6" s="20" t="s">
        <v>61</v>
      </c>
      <c r="G6" s="19" t="s">
        <v>43</v>
      </c>
      <c r="H6" s="21"/>
      <c r="I6" s="20" t="s">
        <v>9</v>
      </c>
      <c r="J6" s="20" t="s">
        <v>66</v>
      </c>
      <c r="K6" s="20" t="s">
        <v>60</v>
      </c>
      <c r="L6" s="20" t="s">
        <v>62</v>
      </c>
      <c r="M6" s="33"/>
      <c r="N6" s="20" t="s">
        <v>9</v>
      </c>
      <c r="O6" s="20" t="s">
        <v>66</v>
      </c>
      <c r="P6" s="20" t="s">
        <v>60</v>
      </c>
      <c r="Q6" s="20" t="s">
        <v>62</v>
      </c>
      <c r="R6" s="21"/>
      <c r="S6" s="20" t="s">
        <v>9</v>
      </c>
      <c r="T6" s="20" t="s">
        <v>66</v>
      </c>
      <c r="U6" s="20" t="s">
        <v>60</v>
      </c>
      <c r="V6" s="20" t="s">
        <v>62</v>
      </c>
      <c r="W6" s="21"/>
      <c r="X6" s="20" t="s">
        <v>9</v>
      </c>
      <c r="Y6" s="20" t="s">
        <v>66</v>
      </c>
      <c r="Z6" s="20" t="s">
        <v>60</v>
      </c>
      <c r="AA6" s="20" t="s">
        <v>62</v>
      </c>
      <c r="AB6" s="21"/>
    </row>
    <row r="7" spans="1:28" outlineLevel="1" x14ac:dyDescent="0.2">
      <c r="A7" s="1"/>
      <c r="D7" s="19" t="s">
        <v>16</v>
      </c>
      <c r="E7" s="19">
        <f>SUM(K15,P15,U15,Z15)</f>
        <v>21</v>
      </c>
      <c r="F7" s="19">
        <f>SUM(L15,Q15,V15,AA15)</f>
        <v>80</v>
      </c>
      <c r="G7" s="19">
        <f>SUM(E7:F7)</f>
        <v>101</v>
      </c>
      <c r="H7" s="21"/>
      <c r="I7" s="20">
        <v>1</v>
      </c>
      <c r="J7" s="20">
        <f>SUM(K7,L7)</f>
        <v>3</v>
      </c>
      <c r="K7" s="20">
        <v>0</v>
      </c>
      <c r="L7" s="20">
        <v>3</v>
      </c>
      <c r="M7" s="33"/>
      <c r="N7" s="20">
        <v>1</v>
      </c>
      <c r="O7" s="20">
        <f>SUM(P7,Q7)</f>
        <v>7</v>
      </c>
      <c r="P7" s="20">
        <v>0</v>
      </c>
      <c r="Q7" s="20">
        <v>7</v>
      </c>
      <c r="R7" s="21"/>
      <c r="S7" s="20">
        <v>1</v>
      </c>
      <c r="T7" s="20">
        <f>SUM(U7,V7)</f>
        <v>3</v>
      </c>
      <c r="U7" s="20">
        <v>0</v>
      </c>
      <c r="V7" s="20">
        <v>3</v>
      </c>
      <c r="W7" s="21"/>
      <c r="X7" s="20">
        <v>1</v>
      </c>
      <c r="Y7" s="20">
        <f>SUM(Z7,AA7)</f>
        <v>5</v>
      </c>
      <c r="Z7" s="20">
        <v>0</v>
      </c>
      <c r="AA7" s="20">
        <v>5</v>
      </c>
      <c r="AB7" s="21"/>
    </row>
    <row r="8" spans="1:28" outlineLevel="1" x14ac:dyDescent="0.2">
      <c r="A8" s="1"/>
      <c r="D8" s="19" t="s">
        <v>17</v>
      </c>
      <c r="E8" s="19">
        <v>15</v>
      </c>
      <c r="F8" s="19">
        <v>77.7</v>
      </c>
      <c r="G8" s="19">
        <f>SUM(E8:F8)</f>
        <v>92.7</v>
      </c>
      <c r="H8" s="21"/>
      <c r="I8" s="19">
        <v>2</v>
      </c>
      <c r="J8" s="20">
        <f t="shared" ref="J8:J14" si="0">SUM(K8,L8)</f>
        <v>10</v>
      </c>
      <c r="K8" s="19">
        <v>0</v>
      </c>
      <c r="L8" s="19">
        <v>10</v>
      </c>
      <c r="M8" s="33"/>
      <c r="N8" s="19">
        <v>2</v>
      </c>
      <c r="O8" s="20">
        <f t="shared" ref="O8:O14" si="1">SUM(P8,Q8)</f>
        <v>7</v>
      </c>
      <c r="P8" s="19">
        <v>0</v>
      </c>
      <c r="Q8" s="19">
        <v>7</v>
      </c>
      <c r="R8" s="21"/>
      <c r="S8" s="19">
        <v>2</v>
      </c>
      <c r="T8" s="20">
        <f t="shared" ref="T8:T14" si="2">SUM(U8,V8)</f>
        <v>4</v>
      </c>
      <c r="U8" s="19">
        <v>0</v>
      </c>
      <c r="V8" s="19">
        <v>4</v>
      </c>
      <c r="W8" s="21"/>
      <c r="X8" s="19">
        <v>2</v>
      </c>
      <c r="Y8" s="20">
        <f t="shared" ref="Y8:Y14" si="3">SUM(Z8,AA8)</f>
        <v>6</v>
      </c>
      <c r="Z8" s="19">
        <v>0</v>
      </c>
      <c r="AA8" s="19">
        <v>6</v>
      </c>
      <c r="AB8" s="21"/>
    </row>
    <row r="9" spans="1:28" outlineLevel="1" x14ac:dyDescent="0.2">
      <c r="A9" s="1"/>
      <c r="D9" s="19" t="s">
        <v>40</v>
      </c>
      <c r="E9" s="22">
        <f>MIN(E7,E8)/MAX(E7,E8)</f>
        <v>0.7142857142857143</v>
      </c>
      <c r="F9" s="22">
        <f>MIN(F7,F8)/MAX(F7,F8)</f>
        <v>0.97125000000000006</v>
      </c>
      <c r="G9" s="22">
        <f>MIN(G7,G8)/MAX(G7,G8)</f>
        <v>0.91782178217821786</v>
      </c>
      <c r="H9" s="21"/>
      <c r="I9" s="19">
        <v>3</v>
      </c>
      <c r="J9" s="20">
        <f t="shared" si="0"/>
        <v>10</v>
      </c>
      <c r="K9" s="19">
        <v>3</v>
      </c>
      <c r="L9" s="19">
        <v>7</v>
      </c>
      <c r="M9" s="33"/>
      <c r="N9" s="19">
        <v>3</v>
      </c>
      <c r="O9" s="20">
        <f t="shared" si="1"/>
        <v>7</v>
      </c>
      <c r="P9" s="19">
        <v>3</v>
      </c>
      <c r="Q9" s="19">
        <v>4</v>
      </c>
      <c r="R9" s="21"/>
      <c r="S9" s="19">
        <v>3</v>
      </c>
      <c r="T9" s="20">
        <f t="shared" si="2"/>
        <v>4</v>
      </c>
      <c r="U9" s="19">
        <v>2</v>
      </c>
      <c r="V9" s="19">
        <v>2</v>
      </c>
      <c r="W9" s="21"/>
      <c r="X9" s="19">
        <v>3</v>
      </c>
      <c r="Y9" s="20">
        <f t="shared" si="3"/>
        <v>5</v>
      </c>
      <c r="Z9" s="19">
        <v>2</v>
      </c>
      <c r="AA9" s="19">
        <v>3</v>
      </c>
      <c r="AB9" s="21"/>
    </row>
    <row r="10" spans="1:28" outlineLevel="1" x14ac:dyDescent="0.2">
      <c r="D10" s="38"/>
      <c r="E10" s="38"/>
      <c r="F10" s="38"/>
      <c r="G10" s="38"/>
      <c r="I10" s="20">
        <v>4</v>
      </c>
      <c r="J10" s="20">
        <f t="shared" si="0"/>
        <v>8</v>
      </c>
      <c r="K10" s="19">
        <v>1</v>
      </c>
      <c r="L10" s="19">
        <v>7</v>
      </c>
      <c r="M10" s="33"/>
      <c r="N10" s="20">
        <v>4</v>
      </c>
      <c r="O10" s="20">
        <f t="shared" si="1"/>
        <v>7</v>
      </c>
      <c r="P10" s="19">
        <v>5</v>
      </c>
      <c r="Q10" s="19">
        <v>2</v>
      </c>
      <c r="R10" s="21"/>
      <c r="S10" s="20">
        <v>4</v>
      </c>
      <c r="T10" s="20">
        <f t="shared" si="2"/>
        <v>4</v>
      </c>
      <c r="U10" s="19">
        <v>1</v>
      </c>
      <c r="V10" s="19">
        <v>3</v>
      </c>
      <c r="W10" s="21"/>
      <c r="X10" s="20">
        <v>4</v>
      </c>
      <c r="Y10" s="20">
        <f t="shared" si="3"/>
        <v>6</v>
      </c>
      <c r="Z10" s="19">
        <v>4</v>
      </c>
      <c r="AA10" s="19">
        <v>2</v>
      </c>
      <c r="AB10" s="21"/>
    </row>
    <row r="11" spans="1:28" ht="15" customHeight="1" outlineLevel="1" x14ac:dyDescent="0.2">
      <c r="D11" s="19" t="s">
        <v>0</v>
      </c>
      <c r="E11" s="20" t="s">
        <v>63</v>
      </c>
      <c r="F11" s="20" t="s">
        <v>64</v>
      </c>
      <c r="G11" s="19" t="s">
        <v>37</v>
      </c>
      <c r="H11" s="21"/>
      <c r="I11" s="20">
        <v>5</v>
      </c>
      <c r="J11" s="20">
        <f t="shared" si="0"/>
        <v>0</v>
      </c>
      <c r="K11" s="19">
        <v>0</v>
      </c>
      <c r="L11" s="19">
        <v>0</v>
      </c>
      <c r="M11" s="33"/>
      <c r="N11" s="20">
        <v>5</v>
      </c>
      <c r="O11" s="20">
        <f t="shared" si="1"/>
        <v>0</v>
      </c>
      <c r="P11" s="19">
        <v>0</v>
      </c>
      <c r="Q11" s="19">
        <v>0</v>
      </c>
      <c r="R11" s="21"/>
      <c r="S11" s="20">
        <v>5</v>
      </c>
      <c r="T11" s="20">
        <f t="shared" si="2"/>
        <v>0</v>
      </c>
      <c r="U11" s="19">
        <v>0</v>
      </c>
      <c r="V11" s="19">
        <v>0</v>
      </c>
      <c r="W11" s="21"/>
      <c r="X11" s="20">
        <v>5</v>
      </c>
      <c r="Y11" s="20">
        <f t="shared" si="3"/>
        <v>0</v>
      </c>
      <c r="Z11" s="19">
        <v>0</v>
      </c>
      <c r="AA11" s="19">
        <v>0</v>
      </c>
      <c r="AB11" s="21"/>
    </row>
    <row r="12" spans="1:28" outlineLevel="1" x14ac:dyDescent="0.2">
      <c r="D12" s="19" t="s">
        <v>16</v>
      </c>
      <c r="E12" s="19">
        <f>SUM(P15,K15)</f>
        <v>12</v>
      </c>
      <c r="F12" s="19">
        <f>SUM(Q15,L15)</f>
        <v>50</v>
      </c>
      <c r="G12" s="19">
        <f>SUM(E12:F12)</f>
        <v>62</v>
      </c>
      <c r="H12" s="21"/>
      <c r="I12" s="20">
        <v>6</v>
      </c>
      <c r="J12" s="20">
        <f t="shared" si="0"/>
        <v>0</v>
      </c>
      <c r="K12" s="19">
        <v>0</v>
      </c>
      <c r="L12" s="19">
        <v>0</v>
      </c>
      <c r="M12" s="33"/>
      <c r="N12" s="20">
        <v>6</v>
      </c>
      <c r="O12" s="20">
        <f t="shared" si="1"/>
        <v>0</v>
      </c>
      <c r="P12" s="19">
        <v>0</v>
      </c>
      <c r="Q12" s="19">
        <v>0</v>
      </c>
      <c r="R12" s="21"/>
      <c r="S12" s="20">
        <v>6</v>
      </c>
      <c r="T12" s="20">
        <f t="shared" si="2"/>
        <v>0</v>
      </c>
      <c r="U12" s="19">
        <v>0</v>
      </c>
      <c r="V12" s="19">
        <v>0</v>
      </c>
      <c r="W12" s="21"/>
      <c r="X12" s="20">
        <v>6</v>
      </c>
      <c r="Y12" s="20">
        <f t="shared" si="3"/>
        <v>0</v>
      </c>
      <c r="Z12" s="19">
        <v>0</v>
      </c>
      <c r="AA12" s="19">
        <v>0</v>
      </c>
      <c r="AB12" s="21"/>
    </row>
    <row r="13" spans="1:28" outlineLevel="1" x14ac:dyDescent="0.2">
      <c r="D13" s="19" t="s">
        <v>17</v>
      </c>
      <c r="E13" s="19">
        <v>11</v>
      </c>
      <c r="F13" s="19">
        <v>57</v>
      </c>
      <c r="G13" s="19">
        <f>SUM(E13:F13)</f>
        <v>68</v>
      </c>
      <c r="H13" s="21"/>
      <c r="I13" s="20">
        <v>7</v>
      </c>
      <c r="J13" s="20">
        <f t="shared" si="0"/>
        <v>0</v>
      </c>
      <c r="K13" s="19">
        <v>0</v>
      </c>
      <c r="L13" s="19">
        <v>0</v>
      </c>
      <c r="M13" s="33"/>
      <c r="N13" s="20">
        <v>7</v>
      </c>
      <c r="O13" s="20">
        <f t="shared" si="1"/>
        <v>0</v>
      </c>
      <c r="P13" s="19">
        <v>0</v>
      </c>
      <c r="Q13" s="19">
        <v>0</v>
      </c>
      <c r="R13" s="21"/>
      <c r="S13" s="20">
        <v>7</v>
      </c>
      <c r="T13" s="20">
        <f t="shared" si="2"/>
        <v>0</v>
      </c>
      <c r="U13" s="19">
        <v>0</v>
      </c>
      <c r="V13" s="19">
        <v>0</v>
      </c>
      <c r="W13" s="21"/>
      <c r="X13" s="20">
        <v>7</v>
      </c>
      <c r="Y13" s="20">
        <f t="shared" si="3"/>
        <v>0</v>
      </c>
      <c r="Z13" s="19">
        <v>0</v>
      </c>
      <c r="AA13" s="19">
        <v>0</v>
      </c>
      <c r="AB13" s="21"/>
    </row>
    <row r="14" spans="1:28" outlineLevel="1" x14ac:dyDescent="0.2">
      <c r="D14" s="19" t="s">
        <v>40</v>
      </c>
      <c r="E14" s="22">
        <f>MIN(E12,E13)/MAX(E12,E13)</f>
        <v>0.91666666666666663</v>
      </c>
      <c r="F14" s="22">
        <f>MIN(F12,F13)/MAX(F12,F13)</f>
        <v>0.8771929824561403</v>
      </c>
      <c r="G14" s="22">
        <f>MIN(G12,G13)/MAX(G12,G13)</f>
        <v>0.91176470588235292</v>
      </c>
      <c r="H14" s="21"/>
      <c r="I14" s="19" t="s">
        <v>10</v>
      </c>
      <c r="J14" s="20">
        <f t="shared" si="0"/>
        <v>2</v>
      </c>
      <c r="K14" s="19">
        <v>0</v>
      </c>
      <c r="L14" s="19">
        <v>2</v>
      </c>
      <c r="M14" s="33"/>
      <c r="N14" s="19" t="s">
        <v>10</v>
      </c>
      <c r="O14" s="20">
        <f t="shared" si="1"/>
        <v>1</v>
      </c>
      <c r="P14" s="19">
        <v>0</v>
      </c>
      <c r="Q14" s="19">
        <v>1</v>
      </c>
      <c r="R14" s="21"/>
      <c r="S14" s="19" t="s">
        <v>10</v>
      </c>
      <c r="T14" s="20">
        <f t="shared" si="2"/>
        <v>1</v>
      </c>
      <c r="U14" s="19">
        <v>0</v>
      </c>
      <c r="V14" s="19">
        <v>1</v>
      </c>
      <c r="W14" s="21"/>
      <c r="X14" s="19" t="s">
        <v>10</v>
      </c>
      <c r="Y14" s="20">
        <f t="shared" si="3"/>
        <v>1</v>
      </c>
      <c r="Z14" s="19">
        <v>0</v>
      </c>
      <c r="AA14" s="19">
        <v>1</v>
      </c>
      <c r="AB14" s="21"/>
    </row>
    <row r="15" spans="1:28" outlineLevel="1" x14ac:dyDescent="0.2">
      <c r="D15" s="38"/>
      <c r="E15" s="38"/>
      <c r="F15" s="38"/>
      <c r="G15" s="38"/>
      <c r="I15" s="19" t="s">
        <v>13</v>
      </c>
      <c r="J15" s="19">
        <f>(SUM(J7:J14))</f>
        <v>33</v>
      </c>
      <c r="K15" s="19">
        <f>(SUM(K7:K14))</f>
        <v>4</v>
      </c>
      <c r="L15" s="19">
        <f>(SUM(L7:L14))</f>
        <v>29</v>
      </c>
      <c r="M15" s="33"/>
      <c r="N15" s="19" t="s">
        <v>13</v>
      </c>
      <c r="O15" s="19">
        <f>(SUM(O7:O14))</f>
        <v>29</v>
      </c>
      <c r="P15" s="19">
        <f>(SUM(P7:P14))</f>
        <v>8</v>
      </c>
      <c r="Q15" s="19">
        <f>(SUM(Q7:Q14))</f>
        <v>21</v>
      </c>
      <c r="R15" s="21"/>
      <c r="S15" s="19" t="s">
        <v>13</v>
      </c>
      <c r="T15" s="19">
        <f>(SUM(T7:T14))</f>
        <v>16</v>
      </c>
      <c r="U15" s="19">
        <f>(SUM(U7:U14))</f>
        <v>3</v>
      </c>
      <c r="V15" s="19">
        <f>(SUM(V7:V14))</f>
        <v>13</v>
      </c>
      <c r="W15" s="21"/>
      <c r="X15" s="19" t="s">
        <v>13</v>
      </c>
      <c r="Y15" s="19">
        <f>(SUM(Y7:Y14))</f>
        <v>23</v>
      </c>
      <c r="Z15" s="19">
        <f>(SUM(Z7:Z14))</f>
        <v>6</v>
      </c>
      <c r="AA15" s="19">
        <f>(SUM(AA7:AA14))</f>
        <v>17</v>
      </c>
      <c r="AB15" s="21"/>
    </row>
    <row r="16" spans="1:28" outlineLevel="1" x14ac:dyDescent="0.2">
      <c r="I16" s="38"/>
      <c r="J16" s="38"/>
      <c r="K16" s="38"/>
      <c r="L16" s="38"/>
      <c r="M16" s="1"/>
      <c r="N16" s="38"/>
      <c r="O16" s="38"/>
      <c r="P16" s="38"/>
      <c r="Q16" s="38"/>
      <c r="S16" s="38"/>
      <c r="T16" s="38"/>
      <c r="U16" s="38"/>
      <c r="V16" s="38"/>
      <c r="X16" s="38"/>
      <c r="Y16" s="38"/>
      <c r="Z16" s="38"/>
      <c r="AA16" s="38"/>
    </row>
    <row r="17" spans="1:36" x14ac:dyDescent="0.2">
      <c r="B17" s="2"/>
      <c r="C17" s="1"/>
      <c r="D17" s="1"/>
      <c r="E17" s="1"/>
      <c r="F17" s="1"/>
      <c r="G17" s="1"/>
      <c r="H17" s="1"/>
      <c r="I17" s="1"/>
      <c r="J17" s="1"/>
      <c r="K17" s="1"/>
      <c r="L17" s="1"/>
      <c r="M17" s="1"/>
    </row>
    <row r="18" spans="1:36" ht="32" x14ac:dyDescent="0.2">
      <c r="A18" s="1" t="s">
        <v>28</v>
      </c>
      <c r="B18" s="2">
        <v>33</v>
      </c>
      <c r="C18" s="1"/>
      <c r="I18" s="20" t="s">
        <v>77</v>
      </c>
      <c r="J18" s="20">
        <v>1</v>
      </c>
      <c r="K18" s="20" t="s">
        <v>12</v>
      </c>
      <c r="L18" s="20" t="s">
        <v>15</v>
      </c>
      <c r="M18" s="33"/>
      <c r="N18" s="20" t="s">
        <v>77</v>
      </c>
      <c r="O18" s="20">
        <v>2</v>
      </c>
      <c r="P18" s="20" t="s">
        <v>12</v>
      </c>
      <c r="Q18" s="20" t="s">
        <v>15</v>
      </c>
      <c r="R18" s="21"/>
      <c r="S18" s="20" t="s">
        <v>77</v>
      </c>
      <c r="T18" s="20">
        <v>3</v>
      </c>
      <c r="U18" s="20" t="s">
        <v>12</v>
      </c>
      <c r="V18" s="20" t="s">
        <v>14</v>
      </c>
      <c r="W18" s="21"/>
      <c r="X18" s="20" t="s">
        <v>77</v>
      </c>
      <c r="Y18" s="20">
        <v>4</v>
      </c>
      <c r="Z18" s="20" t="s">
        <v>12</v>
      </c>
      <c r="AA18" s="20" t="s">
        <v>14</v>
      </c>
      <c r="AB18" s="21"/>
    </row>
    <row r="19" spans="1:36" outlineLevel="1" x14ac:dyDescent="0.2">
      <c r="B19" s="2"/>
      <c r="C19" s="1"/>
      <c r="I19" s="19" t="s">
        <v>11</v>
      </c>
      <c r="J19" s="35" t="s">
        <v>6</v>
      </c>
      <c r="K19" s="19"/>
      <c r="L19" s="19"/>
      <c r="M19" s="33"/>
      <c r="N19" s="19" t="s">
        <v>11</v>
      </c>
      <c r="O19" s="35" t="s">
        <v>5</v>
      </c>
      <c r="P19" s="19"/>
      <c r="Q19" s="19"/>
      <c r="R19" s="21"/>
      <c r="S19" s="19" t="s">
        <v>11</v>
      </c>
      <c r="T19" s="35" t="s">
        <v>8</v>
      </c>
      <c r="U19" s="19"/>
      <c r="V19" s="19"/>
      <c r="W19" s="21"/>
      <c r="X19" s="19" t="s">
        <v>11</v>
      </c>
      <c r="Y19" s="35" t="s">
        <v>7</v>
      </c>
      <c r="Z19" s="19"/>
      <c r="AA19" s="19"/>
      <c r="AB19" s="21"/>
    </row>
    <row r="20" spans="1:36" ht="15" customHeight="1" outlineLevel="1" x14ac:dyDescent="0.2">
      <c r="B20" s="2"/>
      <c r="C20" s="1"/>
      <c r="D20" s="19"/>
      <c r="E20" s="19" t="s">
        <v>60</v>
      </c>
      <c r="F20" s="20" t="s">
        <v>61</v>
      </c>
      <c r="G20" s="19" t="s">
        <v>43</v>
      </c>
      <c r="H20" s="21"/>
      <c r="I20" s="20" t="s">
        <v>9</v>
      </c>
      <c r="J20" s="20" t="s">
        <v>66</v>
      </c>
      <c r="K20" s="20" t="s">
        <v>60</v>
      </c>
      <c r="L20" s="20" t="s">
        <v>62</v>
      </c>
      <c r="M20" s="33"/>
      <c r="N20" s="20" t="s">
        <v>9</v>
      </c>
      <c r="O20" s="20" t="s">
        <v>66</v>
      </c>
      <c r="P20" s="20" t="s">
        <v>60</v>
      </c>
      <c r="Q20" s="20" t="s">
        <v>62</v>
      </c>
      <c r="R20" s="21"/>
      <c r="S20" s="20" t="s">
        <v>9</v>
      </c>
      <c r="T20" s="20" t="s">
        <v>66</v>
      </c>
      <c r="U20" s="20" t="s">
        <v>60</v>
      </c>
      <c r="V20" s="20" t="s">
        <v>62</v>
      </c>
      <c r="W20" s="21"/>
      <c r="X20" s="20" t="s">
        <v>9</v>
      </c>
      <c r="Y20" s="20" t="s">
        <v>66</v>
      </c>
      <c r="Z20" s="20" t="s">
        <v>60</v>
      </c>
      <c r="AA20" s="20" t="s">
        <v>62</v>
      </c>
      <c r="AB20" s="21"/>
    </row>
    <row r="21" spans="1:36" outlineLevel="1" x14ac:dyDescent="0.2">
      <c r="B21" s="2"/>
      <c r="C21" s="1"/>
      <c r="D21" s="19" t="s">
        <v>16</v>
      </c>
      <c r="E21" s="19">
        <f>SUM(K29,P29,U29,Z29)</f>
        <v>9</v>
      </c>
      <c r="F21" s="19">
        <f>SUM(L29,Q29,V29,AA29)</f>
        <v>58</v>
      </c>
      <c r="G21" s="19">
        <f>SUM(E21:F21)</f>
        <v>67</v>
      </c>
      <c r="H21" s="21"/>
      <c r="I21" s="20">
        <v>1</v>
      </c>
      <c r="J21" s="20">
        <f>SUM(K21,L21)</f>
        <v>7</v>
      </c>
      <c r="K21" s="20">
        <v>0</v>
      </c>
      <c r="L21" s="20">
        <v>7</v>
      </c>
      <c r="M21" s="33"/>
      <c r="N21" s="20">
        <v>1</v>
      </c>
      <c r="O21" s="20">
        <f>SUM(P21,Q21)</f>
        <v>0</v>
      </c>
      <c r="P21" s="20">
        <v>0</v>
      </c>
      <c r="Q21" s="20">
        <v>0</v>
      </c>
      <c r="R21" s="21"/>
      <c r="S21" s="20">
        <v>1</v>
      </c>
      <c r="T21" s="20">
        <f>SUM(U21,V21)</f>
        <v>4</v>
      </c>
      <c r="U21" s="20">
        <v>0</v>
      </c>
      <c r="V21" s="20">
        <v>4</v>
      </c>
      <c r="W21" s="21"/>
      <c r="X21" s="20">
        <v>1</v>
      </c>
      <c r="Y21" s="20">
        <f>SUM(Z21,AA21)</f>
        <v>3</v>
      </c>
      <c r="Z21" s="20">
        <v>0</v>
      </c>
      <c r="AA21" s="20">
        <v>3</v>
      </c>
      <c r="AB21" s="21"/>
      <c r="AJ21" s="6" t="s">
        <v>79</v>
      </c>
    </row>
    <row r="22" spans="1:36" outlineLevel="1" x14ac:dyDescent="0.2">
      <c r="B22" s="2"/>
      <c r="C22" s="1"/>
      <c r="D22" s="19" t="s">
        <v>17</v>
      </c>
      <c r="E22" s="19">
        <v>10</v>
      </c>
      <c r="F22" s="19">
        <v>75</v>
      </c>
      <c r="G22" s="19">
        <f>SUM(E22:F22)</f>
        <v>85</v>
      </c>
      <c r="H22" s="21"/>
      <c r="I22" s="19">
        <v>2</v>
      </c>
      <c r="J22" s="20">
        <f t="shared" ref="J22:J28" si="4">SUM(K22,L22)</f>
        <v>8</v>
      </c>
      <c r="K22" s="19">
        <v>4</v>
      </c>
      <c r="L22" s="19">
        <v>4</v>
      </c>
      <c r="M22" s="33"/>
      <c r="N22" s="19">
        <v>2</v>
      </c>
      <c r="O22" s="20">
        <f t="shared" ref="O22:O28" si="5">SUM(P22,Q22)</f>
        <v>1</v>
      </c>
      <c r="P22" s="19">
        <v>0</v>
      </c>
      <c r="Q22" s="19">
        <v>1</v>
      </c>
      <c r="R22" s="21"/>
      <c r="S22" s="19">
        <v>2</v>
      </c>
      <c r="T22" s="20">
        <f t="shared" ref="T22:T28" si="6">SUM(U22,V22)</f>
        <v>6</v>
      </c>
      <c r="U22" s="19">
        <v>3</v>
      </c>
      <c r="V22" s="19">
        <v>3</v>
      </c>
      <c r="W22" s="21"/>
      <c r="X22" s="19">
        <v>2</v>
      </c>
      <c r="Y22" s="20">
        <f t="shared" ref="Y22:Y28" si="7">SUM(Z22,AA22)</f>
        <v>3</v>
      </c>
      <c r="Z22" s="19">
        <v>1</v>
      </c>
      <c r="AA22" s="19">
        <v>2</v>
      </c>
      <c r="AB22" s="21"/>
    </row>
    <row r="23" spans="1:36" outlineLevel="1" x14ac:dyDescent="0.2">
      <c r="B23" s="2"/>
      <c r="C23" s="1"/>
      <c r="D23" s="19" t="s">
        <v>40</v>
      </c>
      <c r="E23" s="22">
        <f>MIN(E21,E22)/MAX(E21,E22)</f>
        <v>0.9</v>
      </c>
      <c r="F23" s="22">
        <f>MIN(F21,F22)/MAX(F21,F22)</f>
        <v>0.77333333333333332</v>
      </c>
      <c r="G23" s="22">
        <f>MIN(G21,G22)/MAX(G21,G22)</f>
        <v>0.78823529411764703</v>
      </c>
      <c r="H23" s="21"/>
      <c r="I23" s="19">
        <v>3</v>
      </c>
      <c r="J23" s="20">
        <f t="shared" si="4"/>
        <v>8</v>
      </c>
      <c r="K23" s="19">
        <v>0</v>
      </c>
      <c r="L23" s="19">
        <v>8</v>
      </c>
      <c r="M23" s="33"/>
      <c r="N23" s="19">
        <v>3</v>
      </c>
      <c r="O23" s="20">
        <f t="shared" si="5"/>
        <v>1</v>
      </c>
      <c r="P23" s="19">
        <v>0</v>
      </c>
      <c r="Q23" s="19">
        <v>1</v>
      </c>
      <c r="R23" s="21"/>
      <c r="S23" s="19">
        <v>3</v>
      </c>
      <c r="T23" s="20">
        <f t="shared" si="6"/>
        <v>6</v>
      </c>
      <c r="U23" s="19">
        <v>0</v>
      </c>
      <c r="V23" s="19">
        <v>6</v>
      </c>
      <c r="W23" s="21"/>
      <c r="X23" s="19">
        <v>3</v>
      </c>
      <c r="Y23" s="20">
        <f t="shared" si="7"/>
        <v>3</v>
      </c>
      <c r="Z23" s="19">
        <v>0</v>
      </c>
      <c r="AA23" s="19">
        <v>3</v>
      </c>
      <c r="AB23" s="21"/>
    </row>
    <row r="24" spans="1:36" outlineLevel="1" x14ac:dyDescent="0.2">
      <c r="B24" s="2"/>
      <c r="C24" s="1"/>
      <c r="D24" s="38"/>
      <c r="E24" s="38"/>
      <c r="F24" s="38"/>
      <c r="G24" s="38"/>
      <c r="I24" s="20">
        <v>4</v>
      </c>
      <c r="J24" s="20">
        <f t="shared" si="4"/>
        <v>8</v>
      </c>
      <c r="K24" s="19">
        <v>0</v>
      </c>
      <c r="L24" s="19">
        <v>8</v>
      </c>
      <c r="M24" s="33"/>
      <c r="N24" s="20">
        <v>4</v>
      </c>
      <c r="O24" s="20">
        <f t="shared" si="5"/>
        <v>1</v>
      </c>
      <c r="P24" s="19">
        <v>1</v>
      </c>
      <c r="Q24" s="19">
        <v>0</v>
      </c>
      <c r="R24" s="21"/>
      <c r="S24" s="20">
        <v>4</v>
      </c>
      <c r="T24" s="20">
        <f t="shared" si="6"/>
        <v>6</v>
      </c>
      <c r="U24" s="19">
        <v>0</v>
      </c>
      <c r="V24" s="19">
        <v>6</v>
      </c>
      <c r="W24" s="21"/>
      <c r="X24" s="20">
        <v>4</v>
      </c>
      <c r="Y24" s="20">
        <f t="shared" si="7"/>
        <v>2</v>
      </c>
      <c r="Z24" s="19">
        <v>0</v>
      </c>
      <c r="AA24" s="19">
        <v>2</v>
      </c>
      <c r="AB24" s="21"/>
    </row>
    <row r="25" spans="1:36" ht="17" customHeight="1" outlineLevel="1" x14ac:dyDescent="0.2">
      <c r="B25" s="2"/>
      <c r="C25" s="1"/>
      <c r="D25" s="19" t="s">
        <v>0</v>
      </c>
      <c r="E25" s="20" t="s">
        <v>63</v>
      </c>
      <c r="F25" s="20" t="s">
        <v>64</v>
      </c>
      <c r="G25" s="19" t="s">
        <v>37</v>
      </c>
      <c r="H25" s="21"/>
      <c r="I25" s="20">
        <v>5</v>
      </c>
      <c r="J25" s="20">
        <f t="shared" si="4"/>
        <v>0</v>
      </c>
      <c r="K25" s="19">
        <v>0</v>
      </c>
      <c r="L25" s="19">
        <v>0</v>
      </c>
      <c r="M25" s="33"/>
      <c r="N25" s="20">
        <v>5</v>
      </c>
      <c r="O25" s="20">
        <f t="shared" si="5"/>
        <v>0</v>
      </c>
      <c r="P25" s="19">
        <v>0</v>
      </c>
      <c r="Q25" s="19">
        <v>0</v>
      </c>
      <c r="R25" s="21"/>
      <c r="S25" s="20">
        <v>5</v>
      </c>
      <c r="T25" s="20">
        <f t="shared" si="6"/>
        <v>0</v>
      </c>
      <c r="U25" s="19">
        <v>0</v>
      </c>
      <c r="V25" s="19">
        <v>0</v>
      </c>
      <c r="W25" s="21"/>
      <c r="X25" s="20">
        <v>5</v>
      </c>
      <c r="Y25" s="20">
        <f t="shared" si="7"/>
        <v>0</v>
      </c>
      <c r="Z25" s="19">
        <v>0</v>
      </c>
      <c r="AA25" s="19">
        <v>0</v>
      </c>
      <c r="AB25" s="21"/>
    </row>
    <row r="26" spans="1:36" outlineLevel="1" x14ac:dyDescent="0.2">
      <c r="B26" s="2"/>
      <c r="C26" s="1"/>
      <c r="D26" s="19" t="s">
        <v>16</v>
      </c>
      <c r="E26" s="19">
        <f>SUM(P29,K29)</f>
        <v>5</v>
      </c>
      <c r="F26" s="19">
        <f>SUM(Q29,L29)</f>
        <v>29</v>
      </c>
      <c r="G26" s="19">
        <f>SUM(E26:F26)</f>
        <v>34</v>
      </c>
      <c r="H26" s="21"/>
      <c r="I26" s="20">
        <v>6</v>
      </c>
      <c r="J26" s="20">
        <f t="shared" si="4"/>
        <v>0</v>
      </c>
      <c r="K26" s="19">
        <v>0</v>
      </c>
      <c r="L26" s="19">
        <v>0</v>
      </c>
      <c r="M26" s="33"/>
      <c r="N26" s="20">
        <v>6</v>
      </c>
      <c r="O26" s="20">
        <f t="shared" si="5"/>
        <v>0</v>
      </c>
      <c r="P26" s="19">
        <v>0</v>
      </c>
      <c r="Q26" s="19">
        <v>0</v>
      </c>
      <c r="R26" s="21"/>
      <c r="S26" s="20">
        <v>6</v>
      </c>
      <c r="T26" s="20">
        <f t="shared" si="6"/>
        <v>0</v>
      </c>
      <c r="U26" s="19">
        <v>0</v>
      </c>
      <c r="V26" s="19">
        <v>0</v>
      </c>
      <c r="W26" s="21"/>
      <c r="X26" s="20">
        <v>6</v>
      </c>
      <c r="Y26" s="20">
        <f t="shared" si="7"/>
        <v>0</v>
      </c>
      <c r="Z26" s="19">
        <v>0</v>
      </c>
      <c r="AA26" s="19">
        <v>0</v>
      </c>
      <c r="AB26" s="21"/>
    </row>
    <row r="27" spans="1:36" outlineLevel="1" x14ac:dyDescent="0.2">
      <c r="B27" s="2"/>
      <c r="C27" s="1"/>
      <c r="D27" s="19" t="s">
        <v>17</v>
      </c>
      <c r="E27" s="19">
        <v>5</v>
      </c>
      <c r="F27" s="19">
        <v>38</v>
      </c>
      <c r="G27" s="19">
        <f>SUM(E27:F27)</f>
        <v>43</v>
      </c>
      <c r="H27" s="21"/>
      <c r="I27" s="20">
        <v>7</v>
      </c>
      <c r="J27" s="20">
        <f t="shared" si="4"/>
        <v>0</v>
      </c>
      <c r="K27" s="19">
        <v>0</v>
      </c>
      <c r="L27" s="19">
        <v>0</v>
      </c>
      <c r="M27" s="33"/>
      <c r="N27" s="20">
        <v>7</v>
      </c>
      <c r="O27" s="20">
        <f t="shared" si="5"/>
        <v>0</v>
      </c>
      <c r="P27" s="19">
        <v>0</v>
      </c>
      <c r="Q27" s="19">
        <v>0</v>
      </c>
      <c r="R27" s="21"/>
      <c r="S27" s="20">
        <v>7</v>
      </c>
      <c r="T27" s="20">
        <f t="shared" si="6"/>
        <v>0</v>
      </c>
      <c r="U27" s="19">
        <v>0</v>
      </c>
      <c r="V27" s="19">
        <v>0</v>
      </c>
      <c r="W27" s="21"/>
      <c r="X27" s="20">
        <v>7</v>
      </c>
      <c r="Y27" s="20">
        <f t="shared" si="7"/>
        <v>0</v>
      </c>
      <c r="Z27" s="19">
        <v>0</v>
      </c>
      <c r="AA27" s="19">
        <v>0</v>
      </c>
      <c r="AB27" s="21"/>
    </row>
    <row r="28" spans="1:36" outlineLevel="1" x14ac:dyDescent="0.2">
      <c r="B28" s="2"/>
      <c r="C28" s="1"/>
      <c r="D28" s="19" t="s">
        <v>40</v>
      </c>
      <c r="E28" s="22">
        <f>MIN(E26,E27)/MAX(E26,E27)</f>
        <v>1</v>
      </c>
      <c r="F28" s="22">
        <f>MIN(F26,F27)/MAX(F26,F27)</f>
        <v>0.76315789473684215</v>
      </c>
      <c r="G28" s="22">
        <f>MIN(G26,G27)/MAX(G26,G27)</f>
        <v>0.79069767441860461</v>
      </c>
      <c r="H28" s="21"/>
      <c r="I28" s="19" t="s">
        <v>10</v>
      </c>
      <c r="J28" s="20">
        <f t="shared" si="4"/>
        <v>0</v>
      </c>
      <c r="K28" s="19">
        <v>0</v>
      </c>
      <c r="L28" s="19">
        <v>0</v>
      </c>
      <c r="M28" s="33"/>
      <c r="N28" s="19" t="s">
        <v>10</v>
      </c>
      <c r="O28" s="20">
        <f t="shared" si="5"/>
        <v>0</v>
      </c>
      <c r="P28" s="19">
        <v>0</v>
      </c>
      <c r="Q28" s="19">
        <v>0</v>
      </c>
      <c r="R28" s="21"/>
      <c r="S28" s="19" t="s">
        <v>10</v>
      </c>
      <c r="T28" s="20">
        <f t="shared" si="6"/>
        <v>0</v>
      </c>
      <c r="U28" s="19">
        <v>0</v>
      </c>
      <c r="V28" s="19">
        <v>0</v>
      </c>
      <c r="W28" s="21"/>
      <c r="X28" s="19" t="s">
        <v>10</v>
      </c>
      <c r="Y28" s="20">
        <f t="shared" si="7"/>
        <v>0</v>
      </c>
      <c r="Z28" s="19">
        <v>0</v>
      </c>
      <c r="AA28" s="19">
        <v>0</v>
      </c>
      <c r="AB28" s="21"/>
    </row>
    <row r="29" spans="1:36" outlineLevel="1" x14ac:dyDescent="0.2">
      <c r="B29" s="2"/>
      <c r="C29" s="1"/>
      <c r="D29" s="38"/>
      <c r="E29" s="38"/>
      <c r="F29" s="38"/>
      <c r="G29" s="38"/>
      <c r="I29" s="19" t="s">
        <v>13</v>
      </c>
      <c r="J29" s="19">
        <f>(SUM(J21:J28))</f>
        <v>31</v>
      </c>
      <c r="K29" s="19">
        <f>(SUM(K21:K28))</f>
        <v>4</v>
      </c>
      <c r="L29" s="19">
        <f>(SUM(L21:L28))</f>
        <v>27</v>
      </c>
      <c r="M29" s="33"/>
      <c r="N29" s="19" t="s">
        <v>13</v>
      </c>
      <c r="O29" s="19">
        <f>(SUM(O21:O28))</f>
        <v>3</v>
      </c>
      <c r="P29" s="19">
        <f>(SUM(P21:P28))</f>
        <v>1</v>
      </c>
      <c r="Q29" s="19">
        <f>(SUM(Q21:Q28))</f>
        <v>2</v>
      </c>
      <c r="R29" s="21"/>
      <c r="S29" s="19" t="s">
        <v>13</v>
      </c>
      <c r="T29" s="19">
        <f>(SUM(T21:T28))</f>
        <v>22</v>
      </c>
      <c r="U29" s="19">
        <f>(SUM(U21:U28))</f>
        <v>3</v>
      </c>
      <c r="V29" s="19">
        <f>(SUM(V21:V28))</f>
        <v>19</v>
      </c>
      <c r="W29" s="21"/>
      <c r="X29" s="19" t="s">
        <v>13</v>
      </c>
      <c r="Y29" s="19">
        <f>(SUM(Y21:Y28))</f>
        <v>11</v>
      </c>
      <c r="Z29" s="19">
        <f>(SUM(Z21:Z28))</f>
        <v>1</v>
      </c>
      <c r="AA29" s="19">
        <f>(SUM(AA21:AA28))</f>
        <v>10</v>
      </c>
      <c r="AB29" s="21"/>
    </row>
    <row r="30" spans="1:36" outlineLevel="1" x14ac:dyDescent="0.2">
      <c r="B30" s="2"/>
      <c r="C30" s="1"/>
      <c r="I30" s="38"/>
      <c r="J30" s="38"/>
      <c r="K30" s="38"/>
      <c r="L30" s="38"/>
      <c r="M30" s="1"/>
      <c r="N30" s="38"/>
      <c r="O30" s="38"/>
      <c r="P30" s="38"/>
      <c r="Q30" s="38"/>
      <c r="S30" s="38"/>
      <c r="T30" s="38"/>
      <c r="U30" s="38"/>
      <c r="V30" s="38"/>
      <c r="X30" s="38"/>
      <c r="Y30" s="38"/>
      <c r="Z30" s="38"/>
      <c r="AA30" s="38"/>
    </row>
    <row r="31" spans="1:36" ht="15" customHeight="1" x14ac:dyDescent="0.2">
      <c r="B31" s="2"/>
      <c r="C31" s="1"/>
      <c r="D31" s="1"/>
      <c r="E31" s="1"/>
      <c r="F31" s="1"/>
      <c r="G31" s="1"/>
      <c r="H31" s="1"/>
      <c r="I31" s="1"/>
      <c r="J31" s="1"/>
      <c r="K31" s="1"/>
      <c r="L31" s="1"/>
      <c r="M31" s="1"/>
    </row>
    <row r="32" spans="1:36" ht="17" customHeight="1" outlineLevel="1" x14ac:dyDescent="0.2">
      <c r="A32" s="6" t="s">
        <v>1</v>
      </c>
      <c r="B32" s="2">
        <v>110</v>
      </c>
      <c r="C32" s="1"/>
      <c r="I32" s="20" t="s">
        <v>77</v>
      </c>
      <c r="J32" s="20">
        <v>1</v>
      </c>
      <c r="K32" s="20" t="s">
        <v>12</v>
      </c>
      <c r="L32" s="20" t="s">
        <v>15</v>
      </c>
      <c r="M32" s="33"/>
      <c r="N32" s="20" t="s">
        <v>77</v>
      </c>
      <c r="O32" s="20">
        <v>2</v>
      </c>
      <c r="P32" s="20" t="s">
        <v>12</v>
      </c>
      <c r="Q32" s="20" t="s">
        <v>15</v>
      </c>
      <c r="R32" s="21"/>
      <c r="S32" s="20" t="s">
        <v>77</v>
      </c>
      <c r="T32" s="20">
        <v>3</v>
      </c>
      <c r="U32" s="20" t="s">
        <v>12</v>
      </c>
      <c r="V32" s="20" t="s">
        <v>14</v>
      </c>
      <c r="W32" s="21"/>
      <c r="X32" s="1"/>
      <c r="Y32" s="1"/>
      <c r="Z32" s="1"/>
      <c r="AA32" s="1"/>
    </row>
    <row r="33" spans="2:27" outlineLevel="1" x14ac:dyDescent="0.2">
      <c r="B33" s="2"/>
      <c r="C33" s="1"/>
      <c r="I33" s="19" t="s">
        <v>11</v>
      </c>
      <c r="J33" s="35" t="s">
        <v>6</v>
      </c>
      <c r="K33" s="19"/>
      <c r="L33" s="19"/>
      <c r="M33" s="33"/>
      <c r="N33" s="19" t="s">
        <v>11</v>
      </c>
      <c r="O33" s="35" t="s">
        <v>5</v>
      </c>
      <c r="P33" s="19"/>
      <c r="Q33" s="19"/>
      <c r="R33" s="21"/>
      <c r="S33" s="19" t="s">
        <v>11</v>
      </c>
      <c r="T33" s="35" t="s">
        <v>8</v>
      </c>
      <c r="U33" s="19"/>
      <c r="V33" s="19"/>
      <c r="W33" s="21"/>
    </row>
    <row r="34" spans="2:27" ht="16" customHeight="1" outlineLevel="1" x14ac:dyDescent="0.2">
      <c r="B34" s="2"/>
      <c r="C34" s="1"/>
      <c r="D34" s="19"/>
      <c r="E34" s="19" t="s">
        <v>60</v>
      </c>
      <c r="F34" s="20" t="s">
        <v>61</v>
      </c>
      <c r="G34" s="19" t="s">
        <v>43</v>
      </c>
      <c r="H34" s="21"/>
      <c r="I34" s="20" t="s">
        <v>9</v>
      </c>
      <c r="J34" s="20" t="s">
        <v>66</v>
      </c>
      <c r="K34" s="20" t="s">
        <v>60</v>
      </c>
      <c r="L34" s="20" t="s">
        <v>62</v>
      </c>
      <c r="M34" s="33"/>
      <c r="N34" s="20" t="s">
        <v>9</v>
      </c>
      <c r="O34" s="20" t="s">
        <v>66</v>
      </c>
      <c r="P34" s="20" t="s">
        <v>60</v>
      </c>
      <c r="Q34" s="20" t="s">
        <v>62</v>
      </c>
      <c r="R34" s="21"/>
      <c r="S34" s="20" t="s">
        <v>9</v>
      </c>
      <c r="T34" s="20" t="s">
        <v>66</v>
      </c>
      <c r="U34" s="20" t="s">
        <v>60</v>
      </c>
      <c r="V34" s="20" t="s">
        <v>62</v>
      </c>
      <c r="W34" s="21"/>
      <c r="X34" s="1"/>
      <c r="Y34" s="1"/>
      <c r="Z34" s="1"/>
      <c r="AA34" s="1"/>
    </row>
    <row r="35" spans="2:27" outlineLevel="1" x14ac:dyDescent="0.2">
      <c r="B35" s="2"/>
      <c r="C35" s="1"/>
      <c r="D35" s="19" t="s">
        <v>16</v>
      </c>
      <c r="E35" s="19">
        <f>SUM(K43,P43,U43,Z43)</f>
        <v>0</v>
      </c>
      <c r="F35" s="19">
        <f>SUM(L43,Q43,V43,AA43)</f>
        <v>6</v>
      </c>
      <c r="G35" s="19">
        <f>SUM(E35:F35)</f>
        <v>6</v>
      </c>
      <c r="H35" s="21"/>
      <c r="I35" s="20">
        <v>1</v>
      </c>
      <c r="J35" s="20">
        <f>SUM(K35,L35)</f>
        <v>3</v>
      </c>
      <c r="K35" s="20">
        <v>0</v>
      </c>
      <c r="L35" s="20">
        <v>3</v>
      </c>
      <c r="M35" s="33"/>
      <c r="N35" s="20">
        <v>1</v>
      </c>
      <c r="O35" s="20">
        <f>SUM(P35,Q35)</f>
        <v>0</v>
      </c>
      <c r="P35" s="20">
        <v>0</v>
      </c>
      <c r="Q35" s="20">
        <v>0</v>
      </c>
      <c r="R35" s="21"/>
      <c r="S35" s="20">
        <v>1</v>
      </c>
      <c r="T35" s="20">
        <f>SUM(U35,V35)</f>
        <v>3</v>
      </c>
      <c r="U35" s="20">
        <v>0</v>
      </c>
      <c r="V35" s="20">
        <v>3</v>
      </c>
      <c r="W35" s="21"/>
      <c r="X35" s="1"/>
      <c r="Y35" s="1"/>
      <c r="Z35" s="1"/>
      <c r="AA35" s="1"/>
    </row>
    <row r="36" spans="2:27" outlineLevel="1" x14ac:dyDescent="0.2">
      <c r="B36" s="2"/>
      <c r="C36" s="1"/>
      <c r="D36" s="19" t="s">
        <v>17</v>
      </c>
      <c r="E36" s="19">
        <v>0</v>
      </c>
      <c r="F36" s="19">
        <v>0</v>
      </c>
      <c r="G36" s="19">
        <f>SUM(E36:F36)</f>
        <v>0</v>
      </c>
      <c r="H36" s="21"/>
      <c r="I36" s="19">
        <v>2</v>
      </c>
      <c r="J36" s="20">
        <f t="shared" ref="J36:J41" si="8">SUM(K36,L36)</f>
        <v>0</v>
      </c>
      <c r="K36" s="19">
        <v>0</v>
      </c>
      <c r="L36" s="19">
        <v>0</v>
      </c>
      <c r="M36" s="33"/>
      <c r="N36" s="19">
        <v>2</v>
      </c>
      <c r="O36" s="20">
        <f t="shared" ref="O36:O42" si="9">SUM(P36,Q36)</f>
        <v>0</v>
      </c>
      <c r="P36" s="19">
        <v>0</v>
      </c>
      <c r="Q36" s="19">
        <v>0</v>
      </c>
      <c r="R36" s="21"/>
      <c r="S36" s="19">
        <v>2</v>
      </c>
      <c r="T36" s="20">
        <f t="shared" ref="T36:T42" si="10">SUM(U36,V36)</f>
        <v>0</v>
      </c>
      <c r="U36" s="19">
        <v>0</v>
      </c>
      <c r="V36" s="19">
        <v>0</v>
      </c>
      <c r="W36" s="21"/>
      <c r="Y36" s="1"/>
    </row>
    <row r="37" spans="2:27" outlineLevel="1" x14ac:dyDescent="0.2">
      <c r="B37" s="2"/>
      <c r="C37" s="1"/>
      <c r="D37" s="19" t="s">
        <v>40</v>
      </c>
      <c r="E37" s="19"/>
      <c r="F37" s="22">
        <f>MIN(F35,F36)/MAX(F35,F36)</f>
        <v>0</v>
      </c>
      <c r="G37" s="22">
        <f>MIN(G35,G36)/MAX(G35,G36)</f>
        <v>0</v>
      </c>
      <c r="H37" s="21"/>
      <c r="I37" s="19">
        <v>3</v>
      </c>
      <c r="J37" s="20">
        <f t="shared" si="8"/>
        <v>0</v>
      </c>
      <c r="K37" s="19">
        <v>0</v>
      </c>
      <c r="L37" s="19">
        <v>0</v>
      </c>
      <c r="M37" s="33"/>
      <c r="N37" s="19">
        <v>3</v>
      </c>
      <c r="O37" s="20">
        <f t="shared" si="9"/>
        <v>0</v>
      </c>
      <c r="P37" s="19">
        <v>0</v>
      </c>
      <c r="Q37" s="19">
        <v>0</v>
      </c>
      <c r="R37" s="21"/>
      <c r="S37" s="19">
        <v>3</v>
      </c>
      <c r="T37" s="20">
        <f t="shared" si="10"/>
        <v>0</v>
      </c>
      <c r="U37" s="19">
        <v>0</v>
      </c>
      <c r="V37" s="19">
        <v>0</v>
      </c>
      <c r="W37" s="21"/>
      <c r="Y37" s="1"/>
    </row>
    <row r="38" spans="2:27" outlineLevel="1" x14ac:dyDescent="0.2">
      <c r="B38" s="2"/>
      <c r="C38" s="1"/>
      <c r="D38" s="38"/>
      <c r="E38" s="38"/>
      <c r="F38" s="38"/>
      <c r="G38" s="38"/>
      <c r="I38" s="20">
        <v>4</v>
      </c>
      <c r="J38" s="20">
        <f t="shared" si="8"/>
        <v>0</v>
      </c>
      <c r="K38" s="19">
        <v>0</v>
      </c>
      <c r="L38" s="19">
        <v>0</v>
      </c>
      <c r="M38" s="33"/>
      <c r="N38" s="20">
        <v>4</v>
      </c>
      <c r="O38" s="20">
        <f t="shared" si="9"/>
        <v>0</v>
      </c>
      <c r="P38" s="19">
        <v>0</v>
      </c>
      <c r="Q38" s="19">
        <v>0</v>
      </c>
      <c r="R38" s="21"/>
      <c r="S38" s="20">
        <v>4</v>
      </c>
      <c r="T38" s="20">
        <f t="shared" si="10"/>
        <v>0</v>
      </c>
      <c r="U38" s="19">
        <v>0</v>
      </c>
      <c r="V38" s="19">
        <v>0</v>
      </c>
      <c r="W38" s="21"/>
      <c r="X38" s="1"/>
      <c r="Y38" s="1"/>
    </row>
    <row r="39" spans="2:27" ht="17" customHeight="1" outlineLevel="1" x14ac:dyDescent="0.2">
      <c r="B39" s="2"/>
      <c r="C39" s="1"/>
      <c r="D39" s="19" t="s">
        <v>0</v>
      </c>
      <c r="E39" s="20" t="s">
        <v>63</v>
      </c>
      <c r="F39" s="20" t="s">
        <v>64</v>
      </c>
      <c r="G39" s="19" t="s">
        <v>37</v>
      </c>
      <c r="H39" s="21"/>
      <c r="I39" s="20">
        <v>5</v>
      </c>
      <c r="J39" s="20">
        <f t="shared" si="8"/>
        <v>0</v>
      </c>
      <c r="K39" s="19">
        <v>0</v>
      </c>
      <c r="L39" s="19">
        <v>0</v>
      </c>
      <c r="M39" s="33"/>
      <c r="N39" s="20">
        <v>5</v>
      </c>
      <c r="O39" s="20">
        <f t="shared" si="9"/>
        <v>0</v>
      </c>
      <c r="P39" s="19">
        <v>0</v>
      </c>
      <c r="Q39" s="19">
        <v>0</v>
      </c>
      <c r="R39" s="21"/>
      <c r="S39" s="20">
        <v>5</v>
      </c>
      <c r="T39" s="20">
        <f t="shared" si="10"/>
        <v>0</v>
      </c>
      <c r="U39" s="19">
        <v>0</v>
      </c>
      <c r="V39" s="19">
        <v>0</v>
      </c>
      <c r="W39" s="21"/>
      <c r="X39" s="1"/>
      <c r="Y39" s="1"/>
    </row>
    <row r="40" spans="2:27" outlineLevel="1" x14ac:dyDescent="0.2">
      <c r="B40" s="2"/>
      <c r="C40" s="1"/>
      <c r="D40" s="19" t="s">
        <v>16</v>
      </c>
      <c r="E40" s="19">
        <f>SUM(P43,K43)</f>
        <v>0</v>
      </c>
      <c r="F40" s="19">
        <f>SUM(Q43,L43)</f>
        <v>3</v>
      </c>
      <c r="G40" s="19">
        <f>SUM(E40:F40)</f>
        <v>3</v>
      </c>
      <c r="H40" s="21"/>
      <c r="I40" s="20">
        <v>6</v>
      </c>
      <c r="J40" s="20">
        <f t="shared" si="8"/>
        <v>0</v>
      </c>
      <c r="K40" s="19">
        <v>0</v>
      </c>
      <c r="L40" s="19">
        <v>0</v>
      </c>
      <c r="M40" s="33"/>
      <c r="N40" s="20">
        <v>6</v>
      </c>
      <c r="O40" s="20">
        <f t="shared" si="9"/>
        <v>0</v>
      </c>
      <c r="P40" s="19">
        <v>0</v>
      </c>
      <c r="Q40" s="19">
        <v>0</v>
      </c>
      <c r="R40" s="21"/>
      <c r="S40" s="20">
        <v>6</v>
      </c>
      <c r="T40" s="20">
        <f t="shared" si="10"/>
        <v>0</v>
      </c>
      <c r="U40" s="19">
        <v>0</v>
      </c>
      <c r="V40" s="19">
        <v>0</v>
      </c>
      <c r="W40" s="21"/>
      <c r="X40" s="1"/>
      <c r="Y40" s="1"/>
    </row>
    <row r="41" spans="2:27" outlineLevel="1" x14ac:dyDescent="0.2">
      <c r="B41" s="2"/>
      <c r="C41" s="1"/>
      <c r="D41" s="19" t="s">
        <v>17</v>
      </c>
      <c r="E41" s="19">
        <v>0</v>
      </c>
      <c r="F41" s="19">
        <v>0</v>
      </c>
      <c r="G41" s="19">
        <v>0</v>
      </c>
      <c r="H41" s="21"/>
      <c r="I41" s="20">
        <v>7</v>
      </c>
      <c r="J41" s="20">
        <f t="shared" si="8"/>
        <v>0</v>
      </c>
      <c r="K41" s="19">
        <v>0</v>
      </c>
      <c r="L41" s="19">
        <v>0</v>
      </c>
      <c r="M41" s="33"/>
      <c r="N41" s="20">
        <v>7</v>
      </c>
      <c r="O41" s="20">
        <f t="shared" si="9"/>
        <v>0</v>
      </c>
      <c r="P41" s="19">
        <v>0</v>
      </c>
      <c r="Q41" s="19">
        <v>0</v>
      </c>
      <c r="R41" s="21"/>
      <c r="S41" s="20">
        <v>7</v>
      </c>
      <c r="T41" s="20">
        <f t="shared" si="10"/>
        <v>0</v>
      </c>
      <c r="U41" s="19">
        <v>0</v>
      </c>
      <c r="V41" s="19">
        <v>0</v>
      </c>
      <c r="W41" s="21"/>
      <c r="X41" s="1"/>
      <c r="Y41" s="1"/>
    </row>
    <row r="42" spans="2:27" ht="16" outlineLevel="1" x14ac:dyDescent="0.2">
      <c r="B42" s="36" t="s">
        <v>47</v>
      </c>
      <c r="C42" s="33"/>
      <c r="D42" s="19" t="s">
        <v>40</v>
      </c>
      <c r="E42" s="22"/>
      <c r="F42" s="22">
        <f>MIN(F40,F41)/MAX(F40,F41)</f>
        <v>0</v>
      </c>
      <c r="G42" s="22">
        <f>MIN(G40,G41)/MAX(G40,G41)</f>
        <v>0</v>
      </c>
      <c r="H42" s="21"/>
      <c r="I42" s="19" t="s">
        <v>10</v>
      </c>
      <c r="J42" s="20">
        <f>SUM(K42,L42)</f>
        <v>0</v>
      </c>
      <c r="K42" s="19">
        <v>0</v>
      </c>
      <c r="L42" s="19">
        <v>0</v>
      </c>
      <c r="M42" s="33"/>
      <c r="N42" s="19" t="s">
        <v>10</v>
      </c>
      <c r="O42" s="20">
        <f t="shared" si="9"/>
        <v>0</v>
      </c>
      <c r="P42" s="19">
        <v>0</v>
      </c>
      <c r="Q42" s="19">
        <v>0</v>
      </c>
      <c r="R42" s="21"/>
      <c r="S42" s="19" t="s">
        <v>10</v>
      </c>
      <c r="T42" s="20">
        <f t="shared" si="10"/>
        <v>0</v>
      </c>
      <c r="U42" s="19">
        <v>0</v>
      </c>
      <c r="V42" s="19">
        <v>0</v>
      </c>
      <c r="W42" s="21"/>
      <c r="Y42" s="1"/>
    </row>
    <row r="43" spans="2:27" outlineLevel="1" x14ac:dyDescent="0.2">
      <c r="B43" s="41"/>
      <c r="C43" s="1"/>
      <c r="D43" s="38"/>
      <c r="E43" s="38"/>
      <c r="F43" s="38"/>
      <c r="G43" s="38"/>
      <c r="I43" s="19" t="s">
        <v>13</v>
      </c>
      <c r="J43" s="19">
        <f>(SUM(J35:J42))</f>
        <v>3</v>
      </c>
      <c r="K43" s="19">
        <f>(SUM(K35:K42))</f>
        <v>0</v>
      </c>
      <c r="L43" s="19">
        <f>(SUM(L35:L42))</f>
        <v>3</v>
      </c>
      <c r="M43" s="33"/>
      <c r="N43" s="19" t="s">
        <v>13</v>
      </c>
      <c r="O43" s="19">
        <f>(SUM(O35:O42))</f>
        <v>0</v>
      </c>
      <c r="P43" s="19">
        <f>(SUM(P35:P42))</f>
        <v>0</v>
      </c>
      <c r="Q43" s="19">
        <f>(SUM(Q35:Q42))</f>
        <v>0</v>
      </c>
      <c r="R43" s="21"/>
      <c r="S43" s="19" t="s">
        <v>13</v>
      </c>
      <c r="T43" s="19">
        <f>(SUM(T35:T42))</f>
        <v>3</v>
      </c>
      <c r="U43" s="19">
        <f>(SUM(U35:U42))</f>
        <v>0</v>
      </c>
      <c r="V43" s="19">
        <f>(SUM(V35:V42))</f>
        <v>3</v>
      </c>
      <c r="W43" s="21"/>
    </row>
    <row r="44" spans="2:27" outlineLevel="1" x14ac:dyDescent="0.2">
      <c r="B44" s="2"/>
      <c r="C44" s="1"/>
      <c r="I44" s="38"/>
      <c r="J44" s="38"/>
      <c r="K44" s="38"/>
      <c r="L44" s="38"/>
      <c r="M44" s="1"/>
      <c r="N44" s="38"/>
      <c r="O44" s="38"/>
      <c r="P44" s="38"/>
      <c r="Q44" s="38"/>
      <c r="S44" s="38"/>
      <c r="T44" s="38"/>
      <c r="U44" s="38"/>
      <c r="V44" s="38"/>
    </row>
    <row r="45" spans="2:27" x14ac:dyDescent="0.2">
      <c r="B45" s="2"/>
      <c r="C45" s="1"/>
      <c r="D45" s="1"/>
      <c r="E45" s="1"/>
      <c r="F45" s="1"/>
      <c r="G45" s="1"/>
      <c r="H45" s="1"/>
      <c r="I45" s="1"/>
      <c r="J45" s="1"/>
      <c r="K45" s="1"/>
      <c r="L45" s="1"/>
      <c r="M45" s="1"/>
    </row>
    <row r="46" spans="2:27" ht="15" customHeight="1" outlineLevel="1" x14ac:dyDescent="0.2">
      <c r="B46" s="2">
        <v>108</v>
      </c>
      <c r="C46" s="1"/>
      <c r="I46" s="20" t="s">
        <v>77</v>
      </c>
      <c r="J46" s="20">
        <v>1</v>
      </c>
      <c r="K46" s="20" t="s">
        <v>12</v>
      </c>
      <c r="L46" s="20" t="s">
        <v>15</v>
      </c>
      <c r="M46" s="33"/>
      <c r="N46" s="20" t="s">
        <v>77</v>
      </c>
      <c r="O46" s="20">
        <v>2</v>
      </c>
      <c r="P46" s="20" t="s">
        <v>12</v>
      </c>
      <c r="Q46" s="20" t="s">
        <v>15</v>
      </c>
      <c r="R46" s="21"/>
      <c r="S46" s="20" t="s">
        <v>77</v>
      </c>
      <c r="T46" s="20">
        <v>3</v>
      </c>
      <c r="U46" s="20" t="s">
        <v>12</v>
      </c>
      <c r="V46" s="20" t="s">
        <v>14</v>
      </c>
      <c r="W46" s="21"/>
      <c r="X46" s="1"/>
      <c r="Y46" s="1"/>
      <c r="Z46" s="1"/>
      <c r="AA46" s="1"/>
    </row>
    <row r="47" spans="2:27" outlineLevel="1" x14ac:dyDescent="0.2">
      <c r="B47" s="2"/>
      <c r="C47" s="1"/>
      <c r="I47" s="19" t="s">
        <v>11</v>
      </c>
      <c r="J47" s="35" t="s">
        <v>7</v>
      </c>
      <c r="K47" s="19"/>
      <c r="L47" s="19"/>
      <c r="M47" s="33"/>
      <c r="N47" s="19" t="s">
        <v>11</v>
      </c>
      <c r="O47" s="35" t="s">
        <v>8</v>
      </c>
      <c r="P47" s="19"/>
      <c r="Q47" s="19"/>
      <c r="R47" s="21"/>
      <c r="S47" s="19" t="s">
        <v>11</v>
      </c>
      <c r="T47" s="35" t="s">
        <v>6</v>
      </c>
      <c r="U47" s="19"/>
      <c r="V47" s="19"/>
      <c r="W47" s="21"/>
    </row>
    <row r="48" spans="2:27" ht="18" customHeight="1" outlineLevel="1" x14ac:dyDescent="0.2">
      <c r="B48" s="2"/>
      <c r="C48" s="1"/>
      <c r="D48" s="19"/>
      <c r="E48" s="19" t="s">
        <v>60</v>
      </c>
      <c r="F48" s="20" t="s">
        <v>61</v>
      </c>
      <c r="G48" s="19" t="s">
        <v>43</v>
      </c>
      <c r="H48" s="21"/>
      <c r="I48" s="20" t="s">
        <v>9</v>
      </c>
      <c r="J48" s="20" t="s">
        <v>66</v>
      </c>
      <c r="K48" s="20" t="s">
        <v>60</v>
      </c>
      <c r="L48" s="20" t="s">
        <v>62</v>
      </c>
      <c r="M48" s="33"/>
      <c r="N48" s="20" t="s">
        <v>9</v>
      </c>
      <c r="O48" s="20" t="s">
        <v>66</v>
      </c>
      <c r="P48" s="20" t="s">
        <v>60</v>
      </c>
      <c r="Q48" s="20" t="s">
        <v>62</v>
      </c>
      <c r="R48" s="21"/>
      <c r="S48" s="20" t="s">
        <v>9</v>
      </c>
      <c r="T48" s="20" t="s">
        <v>66</v>
      </c>
      <c r="U48" s="20" t="s">
        <v>60</v>
      </c>
      <c r="V48" s="20" t="s">
        <v>62</v>
      </c>
      <c r="W48" s="21"/>
      <c r="X48" s="1"/>
      <c r="Y48" s="1"/>
      <c r="Z48" s="1"/>
      <c r="AA48" s="1"/>
    </row>
    <row r="49" spans="1:27" outlineLevel="1" x14ac:dyDescent="0.2">
      <c r="B49" s="2"/>
      <c r="C49" s="1"/>
      <c r="D49" s="19" t="s">
        <v>16</v>
      </c>
      <c r="E49" s="19">
        <f>SUM(K57,P57,U57,Z57)</f>
        <v>26</v>
      </c>
      <c r="F49" s="19">
        <f>SUM(L57,Q57,V57,AA57)</f>
        <v>4</v>
      </c>
      <c r="G49" s="19">
        <f>SUM(E49:F49)</f>
        <v>30</v>
      </c>
      <c r="H49" s="21"/>
      <c r="I49" s="20">
        <v>1</v>
      </c>
      <c r="J49" s="20">
        <f>SUM(K49,L49)</f>
        <v>3</v>
      </c>
      <c r="K49" s="20">
        <v>3</v>
      </c>
      <c r="L49" s="20">
        <v>0</v>
      </c>
      <c r="M49" s="33"/>
      <c r="N49" s="20">
        <v>1</v>
      </c>
      <c r="O49" s="20">
        <f>SUM(P49,Q49)</f>
        <v>7</v>
      </c>
      <c r="P49" s="20">
        <v>7</v>
      </c>
      <c r="Q49" s="20">
        <v>0</v>
      </c>
      <c r="R49" s="21"/>
      <c r="S49" s="20">
        <v>1</v>
      </c>
      <c r="T49" s="20">
        <f>SUM(U49,V49)</f>
        <v>2</v>
      </c>
      <c r="U49" s="20">
        <v>0</v>
      </c>
      <c r="V49" s="20">
        <v>2</v>
      </c>
      <c r="W49" s="21"/>
      <c r="X49" s="1"/>
      <c r="Y49" s="1"/>
      <c r="Z49" s="1"/>
      <c r="AA49" s="1"/>
    </row>
    <row r="50" spans="1:27" outlineLevel="1" x14ac:dyDescent="0.2">
      <c r="B50" s="2"/>
      <c r="C50" s="1"/>
      <c r="D50" s="19" t="s">
        <v>17</v>
      </c>
      <c r="E50" s="19">
        <v>6</v>
      </c>
      <c r="F50" s="19">
        <v>27.5</v>
      </c>
      <c r="G50" s="19">
        <f>SUM(E50:F50)</f>
        <v>33.5</v>
      </c>
      <c r="H50" s="21"/>
      <c r="I50" s="19">
        <v>2</v>
      </c>
      <c r="J50" s="20">
        <f t="shared" ref="J50:J55" si="11">SUM(K50,L50)</f>
        <v>3</v>
      </c>
      <c r="K50" s="19">
        <v>3</v>
      </c>
      <c r="L50" s="19">
        <v>0</v>
      </c>
      <c r="M50" s="33"/>
      <c r="N50" s="19">
        <v>2</v>
      </c>
      <c r="O50" s="20">
        <f t="shared" ref="O50:O55" si="12">SUM(P50,Q50)</f>
        <v>7</v>
      </c>
      <c r="P50" s="19">
        <v>7</v>
      </c>
      <c r="Q50" s="19">
        <v>0</v>
      </c>
      <c r="R50" s="21"/>
      <c r="S50" s="19">
        <v>2</v>
      </c>
      <c r="T50" s="20">
        <f t="shared" ref="T50:T55" si="13">SUM(U50,V50)</f>
        <v>6</v>
      </c>
      <c r="U50" s="19">
        <v>6</v>
      </c>
      <c r="V50" s="19">
        <v>0</v>
      </c>
      <c r="W50" s="21"/>
      <c r="Y50" s="1"/>
    </row>
    <row r="51" spans="1:27" outlineLevel="1" x14ac:dyDescent="0.2">
      <c r="B51" s="2"/>
      <c r="C51" s="1"/>
      <c r="D51" s="19" t="s">
        <v>40</v>
      </c>
      <c r="E51" s="22">
        <f>MIN(E49,E50)/MAX(E49,E50)</f>
        <v>0.23076923076923078</v>
      </c>
      <c r="F51" s="22">
        <f>MIN(F49,F50)/MAX(F49,F50)</f>
        <v>0.14545454545454545</v>
      </c>
      <c r="G51" s="22">
        <f>MIN(G49,G50)/MAX(G49,G50)</f>
        <v>0.89552238805970152</v>
      </c>
      <c r="H51" s="21"/>
      <c r="I51" s="19">
        <v>3</v>
      </c>
      <c r="J51" s="20">
        <f t="shared" si="11"/>
        <v>0</v>
      </c>
      <c r="K51" s="19">
        <v>0</v>
      </c>
      <c r="L51" s="19">
        <v>0</v>
      </c>
      <c r="M51" s="33"/>
      <c r="N51" s="19">
        <v>3</v>
      </c>
      <c r="O51" s="20">
        <f t="shared" si="12"/>
        <v>0</v>
      </c>
      <c r="P51" s="19">
        <v>0</v>
      </c>
      <c r="Q51" s="19">
        <v>0</v>
      </c>
      <c r="R51" s="21"/>
      <c r="S51" s="19">
        <v>3</v>
      </c>
      <c r="T51" s="20">
        <f t="shared" si="13"/>
        <v>0</v>
      </c>
      <c r="U51" s="19">
        <v>0</v>
      </c>
      <c r="V51" s="19">
        <v>0</v>
      </c>
      <c r="W51" s="21"/>
      <c r="Y51" s="1"/>
    </row>
    <row r="52" spans="1:27" outlineLevel="1" x14ac:dyDescent="0.2">
      <c r="B52" s="2"/>
      <c r="C52" s="1"/>
      <c r="D52" s="38"/>
      <c r="E52" s="38"/>
      <c r="F52" s="38"/>
      <c r="G52" s="38"/>
      <c r="I52" s="20">
        <v>4</v>
      </c>
      <c r="J52" s="20">
        <f t="shared" si="11"/>
        <v>0</v>
      </c>
      <c r="K52" s="19">
        <v>0</v>
      </c>
      <c r="L52" s="19">
        <v>0</v>
      </c>
      <c r="M52" s="33"/>
      <c r="N52" s="20">
        <v>4</v>
      </c>
      <c r="O52" s="20">
        <f t="shared" si="12"/>
        <v>0</v>
      </c>
      <c r="P52" s="19">
        <v>0</v>
      </c>
      <c r="Q52" s="19">
        <v>0</v>
      </c>
      <c r="R52" s="21"/>
      <c r="S52" s="20">
        <v>4</v>
      </c>
      <c r="T52" s="20">
        <f t="shared" si="13"/>
        <v>0</v>
      </c>
      <c r="U52" s="19">
        <v>0</v>
      </c>
      <c r="V52" s="19">
        <v>0</v>
      </c>
      <c r="W52" s="21"/>
      <c r="X52" s="1"/>
      <c r="Y52" s="1"/>
    </row>
    <row r="53" spans="1:27" ht="19" customHeight="1" outlineLevel="1" x14ac:dyDescent="0.2">
      <c r="B53" s="2"/>
      <c r="C53" s="1"/>
      <c r="D53" s="19" t="s">
        <v>0</v>
      </c>
      <c r="E53" s="20" t="s">
        <v>63</v>
      </c>
      <c r="F53" s="20" t="s">
        <v>64</v>
      </c>
      <c r="G53" s="19" t="s">
        <v>37</v>
      </c>
      <c r="H53" s="21"/>
      <c r="I53" s="20">
        <v>5</v>
      </c>
      <c r="J53" s="20">
        <f t="shared" si="11"/>
        <v>0</v>
      </c>
      <c r="K53" s="19">
        <v>0</v>
      </c>
      <c r="L53" s="19">
        <v>0</v>
      </c>
      <c r="M53" s="33"/>
      <c r="N53" s="20">
        <v>5</v>
      </c>
      <c r="O53" s="20">
        <f t="shared" si="12"/>
        <v>0</v>
      </c>
      <c r="P53" s="19">
        <v>0</v>
      </c>
      <c r="Q53" s="19">
        <v>0</v>
      </c>
      <c r="R53" s="21"/>
      <c r="S53" s="20">
        <v>5</v>
      </c>
      <c r="T53" s="20">
        <f t="shared" si="13"/>
        <v>0</v>
      </c>
      <c r="U53" s="19">
        <v>0</v>
      </c>
      <c r="V53" s="19">
        <v>0</v>
      </c>
      <c r="W53" s="21"/>
      <c r="X53" s="1"/>
      <c r="Y53" s="1"/>
    </row>
    <row r="54" spans="1:27" outlineLevel="1" x14ac:dyDescent="0.2">
      <c r="B54" s="2"/>
      <c r="C54" s="1"/>
      <c r="D54" s="19" t="s">
        <v>16</v>
      </c>
      <c r="E54" s="19">
        <f>SUM(P57,K57)</f>
        <v>20</v>
      </c>
      <c r="F54" s="19">
        <f>SUM(Q57,L57)</f>
        <v>2</v>
      </c>
      <c r="G54" s="19">
        <f>SUM(E54:F54)</f>
        <v>22</v>
      </c>
      <c r="H54" s="21"/>
      <c r="I54" s="20">
        <v>6</v>
      </c>
      <c r="J54" s="20">
        <f t="shared" si="11"/>
        <v>0</v>
      </c>
      <c r="K54" s="19">
        <v>0</v>
      </c>
      <c r="L54" s="19">
        <v>0</v>
      </c>
      <c r="M54" s="33"/>
      <c r="N54" s="20">
        <v>6</v>
      </c>
      <c r="O54" s="20">
        <f t="shared" si="12"/>
        <v>0</v>
      </c>
      <c r="P54" s="19">
        <v>0</v>
      </c>
      <c r="Q54" s="19">
        <v>0</v>
      </c>
      <c r="R54" s="21"/>
      <c r="S54" s="20">
        <v>6</v>
      </c>
      <c r="T54" s="20">
        <f t="shared" si="13"/>
        <v>0</v>
      </c>
      <c r="U54" s="19">
        <v>0</v>
      </c>
      <c r="V54" s="19">
        <v>0</v>
      </c>
      <c r="W54" s="21"/>
      <c r="X54" s="1"/>
      <c r="Y54" s="1"/>
    </row>
    <row r="55" spans="1:27" outlineLevel="1" x14ac:dyDescent="0.2">
      <c r="B55" s="2"/>
      <c r="C55" s="1"/>
      <c r="D55" s="19" t="s">
        <v>17</v>
      </c>
      <c r="E55" s="19">
        <v>3</v>
      </c>
      <c r="F55" s="19">
        <v>17</v>
      </c>
      <c r="G55" s="19">
        <f>SUM(E55:F55)</f>
        <v>20</v>
      </c>
      <c r="H55" s="21"/>
      <c r="I55" s="20">
        <v>7</v>
      </c>
      <c r="J55" s="20">
        <f t="shared" si="11"/>
        <v>0</v>
      </c>
      <c r="K55" s="19">
        <v>0</v>
      </c>
      <c r="L55" s="19">
        <v>0</v>
      </c>
      <c r="M55" s="33"/>
      <c r="N55" s="20">
        <v>7</v>
      </c>
      <c r="O55" s="20">
        <f t="shared" si="12"/>
        <v>0</v>
      </c>
      <c r="P55" s="19">
        <v>0</v>
      </c>
      <c r="Q55" s="19">
        <v>0</v>
      </c>
      <c r="R55" s="21"/>
      <c r="S55" s="20">
        <v>7</v>
      </c>
      <c r="T55" s="20">
        <f t="shared" si="13"/>
        <v>0</v>
      </c>
      <c r="U55" s="19">
        <v>0</v>
      </c>
      <c r="V55" s="19">
        <v>0</v>
      </c>
      <c r="W55" s="21"/>
      <c r="X55" s="1"/>
      <c r="Y55" s="1"/>
    </row>
    <row r="56" spans="1:27" outlineLevel="1" x14ac:dyDescent="0.2">
      <c r="B56" s="2"/>
      <c r="C56" s="1"/>
      <c r="D56" s="19" t="s">
        <v>40</v>
      </c>
      <c r="E56" s="22">
        <f>MIN(E54,E55)/MAX(E54,E55)</f>
        <v>0.15</v>
      </c>
      <c r="F56" s="22">
        <f>MIN(F54,F55)/MAX(F54,F55)</f>
        <v>0.11764705882352941</v>
      </c>
      <c r="G56" s="22">
        <f>MIN(G54,G55)/MAX(G54,G55)</f>
        <v>0.90909090909090906</v>
      </c>
      <c r="H56" s="21"/>
      <c r="I56" s="19" t="s">
        <v>10</v>
      </c>
      <c r="J56" s="20">
        <f>SUM(K56,L56)</f>
        <v>1</v>
      </c>
      <c r="K56" s="19">
        <v>0</v>
      </c>
      <c r="L56" s="19">
        <v>1</v>
      </c>
      <c r="M56" s="33"/>
      <c r="N56" s="19" t="s">
        <v>10</v>
      </c>
      <c r="O56" s="20">
        <f>SUM(P56,Q56)</f>
        <v>1</v>
      </c>
      <c r="P56" s="19">
        <v>0</v>
      </c>
      <c r="Q56" s="19">
        <v>1</v>
      </c>
      <c r="R56" s="21"/>
      <c r="S56" s="19" t="s">
        <v>10</v>
      </c>
      <c r="T56" s="20">
        <f>SUM(U56,V56)</f>
        <v>0</v>
      </c>
      <c r="U56" s="19">
        <v>0</v>
      </c>
      <c r="V56" s="19">
        <v>0</v>
      </c>
      <c r="W56" s="21"/>
      <c r="Y56" s="1"/>
    </row>
    <row r="57" spans="1:27" outlineLevel="1" x14ac:dyDescent="0.2">
      <c r="B57" s="2"/>
      <c r="C57" s="1"/>
      <c r="D57" s="38"/>
      <c r="E57" s="38"/>
      <c r="F57" s="38"/>
      <c r="G57" s="38"/>
      <c r="I57" s="19" t="s">
        <v>13</v>
      </c>
      <c r="J57" s="19">
        <f>(SUM(J49:J56))</f>
        <v>7</v>
      </c>
      <c r="K57" s="19">
        <f>(SUM(K49:K56))</f>
        <v>6</v>
      </c>
      <c r="L57" s="19">
        <f>(SUM(L49:L56))</f>
        <v>1</v>
      </c>
      <c r="M57" s="33"/>
      <c r="N57" s="19" t="s">
        <v>13</v>
      </c>
      <c r="O57" s="19">
        <f>(SUM(O49:O56))</f>
        <v>15</v>
      </c>
      <c r="P57" s="19">
        <f>(SUM(P49:P56))</f>
        <v>14</v>
      </c>
      <c r="Q57" s="19">
        <f>(SUM(Q49:Q56))</f>
        <v>1</v>
      </c>
      <c r="R57" s="21"/>
      <c r="S57" s="19" t="s">
        <v>13</v>
      </c>
      <c r="T57" s="19">
        <f>(SUM(T49:T56))</f>
        <v>8</v>
      </c>
      <c r="U57" s="19">
        <f>(SUM(U49:U56))</f>
        <v>6</v>
      </c>
      <c r="V57" s="19">
        <f>(SUM(V49:V56))</f>
        <v>2</v>
      </c>
      <c r="W57" s="21"/>
    </row>
    <row r="58" spans="1:27" outlineLevel="1" x14ac:dyDescent="0.2">
      <c r="B58" s="2"/>
      <c r="C58" s="1"/>
      <c r="I58" s="38"/>
      <c r="J58" s="38"/>
      <c r="K58" s="38"/>
      <c r="L58" s="38"/>
      <c r="M58" s="1"/>
      <c r="N58" s="38"/>
      <c r="O58" s="38"/>
      <c r="P58" s="38"/>
      <c r="Q58" s="38"/>
      <c r="S58" s="38"/>
      <c r="T58" s="38"/>
      <c r="U58" s="38"/>
      <c r="V58" s="38"/>
    </row>
    <row r="59" spans="1:27" x14ac:dyDescent="0.2">
      <c r="B59" s="2"/>
      <c r="C59" s="1"/>
      <c r="D59" s="1"/>
      <c r="E59" s="1"/>
      <c r="F59" s="1"/>
      <c r="G59" s="1"/>
      <c r="H59" s="1"/>
      <c r="I59" s="1"/>
      <c r="J59" s="1"/>
      <c r="K59" s="1"/>
      <c r="L59" s="1"/>
      <c r="M59" s="1"/>
    </row>
    <row r="60" spans="1:27" ht="16" customHeight="1" outlineLevel="1" x14ac:dyDescent="0.2">
      <c r="A60" s="6" t="s">
        <v>29</v>
      </c>
      <c r="B60" s="2">
        <v>38</v>
      </c>
      <c r="C60" s="1"/>
      <c r="I60" s="20" t="s">
        <v>77</v>
      </c>
      <c r="J60" s="20">
        <v>1</v>
      </c>
      <c r="K60" s="20" t="s">
        <v>12</v>
      </c>
      <c r="L60" s="20" t="s">
        <v>15</v>
      </c>
      <c r="M60" s="33"/>
      <c r="N60" s="20" t="s">
        <v>77</v>
      </c>
      <c r="O60" s="20">
        <v>2</v>
      </c>
      <c r="P60" s="20" t="s">
        <v>12</v>
      </c>
      <c r="Q60" s="20" t="s">
        <v>14</v>
      </c>
      <c r="R60" s="21"/>
      <c r="S60" s="20" t="s">
        <v>77</v>
      </c>
      <c r="T60" s="20">
        <v>3</v>
      </c>
      <c r="U60" s="20" t="s">
        <v>12</v>
      </c>
      <c r="V60" s="20" t="s">
        <v>14</v>
      </c>
      <c r="W60" s="21"/>
      <c r="X60" s="1"/>
      <c r="Y60" s="1"/>
      <c r="Z60" s="1"/>
      <c r="AA60" s="1"/>
    </row>
    <row r="61" spans="1:27" outlineLevel="1" x14ac:dyDescent="0.2">
      <c r="B61" s="2"/>
      <c r="C61" s="1"/>
      <c r="I61" s="19" t="s">
        <v>11</v>
      </c>
      <c r="J61" s="35" t="s">
        <v>8</v>
      </c>
      <c r="K61" s="19"/>
      <c r="L61" s="19"/>
      <c r="M61" s="33"/>
      <c r="N61" s="19" t="s">
        <v>11</v>
      </c>
      <c r="O61" s="35" t="s">
        <v>8</v>
      </c>
      <c r="P61" s="19"/>
      <c r="Q61" s="19"/>
      <c r="R61" s="21"/>
      <c r="S61" s="19" t="s">
        <v>11</v>
      </c>
      <c r="T61" s="35" t="s">
        <v>6</v>
      </c>
      <c r="U61" s="19"/>
      <c r="V61" s="19"/>
      <c r="W61" s="21"/>
    </row>
    <row r="62" spans="1:27" ht="19" customHeight="1" outlineLevel="1" x14ac:dyDescent="0.2">
      <c r="B62" s="2"/>
      <c r="C62" s="1"/>
      <c r="D62" s="19"/>
      <c r="E62" s="19" t="s">
        <v>60</v>
      </c>
      <c r="F62" s="20" t="s">
        <v>61</v>
      </c>
      <c r="G62" s="19" t="s">
        <v>43</v>
      </c>
      <c r="H62" s="21"/>
      <c r="I62" s="20" t="s">
        <v>9</v>
      </c>
      <c r="J62" s="20" t="s">
        <v>66</v>
      </c>
      <c r="K62" s="20" t="s">
        <v>60</v>
      </c>
      <c r="L62" s="20" t="s">
        <v>62</v>
      </c>
      <c r="M62" s="33"/>
      <c r="N62" s="20" t="s">
        <v>9</v>
      </c>
      <c r="O62" s="20" t="s">
        <v>66</v>
      </c>
      <c r="P62" s="20" t="s">
        <v>60</v>
      </c>
      <c r="Q62" s="20" t="s">
        <v>62</v>
      </c>
      <c r="R62" s="21"/>
      <c r="S62" s="20" t="s">
        <v>9</v>
      </c>
      <c r="T62" s="20" t="s">
        <v>66</v>
      </c>
      <c r="U62" s="20" t="s">
        <v>60</v>
      </c>
      <c r="V62" s="20" t="s">
        <v>62</v>
      </c>
      <c r="W62" s="21"/>
      <c r="X62" s="1"/>
      <c r="Y62" s="1"/>
      <c r="Z62" s="1"/>
      <c r="AA62" s="1"/>
    </row>
    <row r="63" spans="1:27" outlineLevel="1" x14ac:dyDescent="0.2">
      <c r="B63" s="2"/>
      <c r="C63" s="1"/>
      <c r="D63" s="19" t="s">
        <v>16</v>
      </c>
      <c r="E63" s="19">
        <f>SUM(K71,P71,U71,Z71)</f>
        <v>0</v>
      </c>
      <c r="F63" s="19">
        <f>SUM(L71,Q71,V71,AA71)</f>
        <v>38</v>
      </c>
      <c r="G63" s="19">
        <f>SUM(E63:F63)</f>
        <v>38</v>
      </c>
      <c r="H63" s="21"/>
      <c r="I63" s="20">
        <v>1</v>
      </c>
      <c r="J63" s="20">
        <f>SUM(K63,L63)</f>
        <v>12</v>
      </c>
      <c r="K63" s="20">
        <v>0</v>
      </c>
      <c r="L63" s="20">
        <v>12</v>
      </c>
      <c r="M63" s="33"/>
      <c r="N63" s="20">
        <v>1</v>
      </c>
      <c r="O63" s="20">
        <f>SUM(P63,Q63)</f>
        <v>5</v>
      </c>
      <c r="P63" s="20">
        <v>0</v>
      </c>
      <c r="Q63" s="20">
        <v>5</v>
      </c>
      <c r="R63" s="21"/>
      <c r="S63" s="20">
        <v>1</v>
      </c>
      <c r="T63" s="20">
        <f>SUM(U63,V63)</f>
        <v>0</v>
      </c>
      <c r="U63" s="20">
        <v>0</v>
      </c>
      <c r="V63" s="20">
        <v>0</v>
      </c>
      <c r="W63" s="21"/>
      <c r="X63" s="1"/>
      <c r="Y63" s="1"/>
      <c r="Z63" s="1"/>
      <c r="AA63" s="1"/>
    </row>
    <row r="64" spans="1:27" outlineLevel="1" x14ac:dyDescent="0.2">
      <c r="B64" s="2"/>
      <c r="C64" s="1"/>
      <c r="D64" s="19" t="s">
        <v>17</v>
      </c>
      <c r="E64" s="19"/>
      <c r="F64" s="19">
        <v>23.8</v>
      </c>
      <c r="G64" s="19">
        <f>SUM(E64:F64)</f>
        <v>23.8</v>
      </c>
      <c r="H64" s="21"/>
      <c r="I64" s="19">
        <v>2</v>
      </c>
      <c r="J64" s="20">
        <f t="shared" ref="J64:J69" si="14">SUM(K64,L64)</f>
        <v>7</v>
      </c>
      <c r="K64" s="19">
        <v>0</v>
      </c>
      <c r="L64" s="19">
        <v>7</v>
      </c>
      <c r="M64" s="33"/>
      <c r="N64" s="19">
        <v>2</v>
      </c>
      <c r="O64" s="20">
        <f t="shared" ref="O64:O69" si="15">SUM(P64,Q64)</f>
        <v>6</v>
      </c>
      <c r="P64" s="19">
        <v>0</v>
      </c>
      <c r="Q64" s="19">
        <v>6</v>
      </c>
      <c r="R64" s="21"/>
      <c r="S64" s="19">
        <v>2</v>
      </c>
      <c r="T64" s="20">
        <f t="shared" ref="T64:T69" si="16">SUM(U64,V64)</f>
        <v>5</v>
      </c>
      <c r="U64" s="19">
        <v>0</v>
      </c>
      <c r="V64" s="19">
        <v>5</v>
      </c>
      <c r="W64" s="21"/>
      <c r="Y64" s="1"/>
    </row>
    <row r="65" spans="1:28" outlineLevel="1" x14ac:dyDescent="0.2">
      <c r="B65" s="2"/>
      <c r="C65" s="1"/>
      <c r="D65" s="19" t="s">
        <v>40</v>
      </c>
      <c r="E65" s="19"/>
      <c r="F65" s="22">
        <f>MIN(F63,F64)/MAX(F63,F64)</f>
        <v>0.62631578947368427</v>
      </c>
      <c r="G65" s="22">
        <f>MIN(G63,G64)/MAX(G63,G64)</f>
        <v>0.62631578947368427</v>
      </c>
      <c r="H65" s="21"/>
      <c r="I65" s="19">
        <v>3</v>
      </c>
      <c r="J65" s="20">
        <f t="shared" si="14"/>
        <v>0</v>
      </c>
      <c r="K65" s="19">
        <v>0</v>
      </c>
      <c r="L65" s="19">
        <v>0</v>
      </c>
      <c r="M65" s="33"/>
      <c r="N65" s="19">
        <v>3</v>
      </c>
      <c r="O65" s="20">
        <f t="shared" si="15"/>
        <v>0</v>
      </c>
      <c r="P65" s="19">
        <v>0</v>
      </c>
      <c r="Q65" s="19">
        <v>0</v>
      </c>
      <c r="R65" s="21"/>
      <c r="S65" s="19">
        <v>3</v>
      </c>
      <c r="T65" s="20">
        <f t="shared" si="16"/>
        <v>1</v>
      </c>
      <c r="U65" s="19">
        <v>0</v>
      </c>
      <c r="V65" s="19">
        <v>1</v>
      </c>
      <c r="W65" s="21"/>
      <c r="Y65" s="1"/>
    </row>
    <row r="66" spans="1:28" outlineLevel="1" x14ac:dyDescent="0.2">
      <c r="B66" s="2"/>
      <c r="C66" s="1"/>
      <c r="D66" s="38"/>
      <c r="E66" s="38"/>
      <c r="F66" s="38"/>
      <c r="G66" s="38"/>
      <c r="I66" s="20">
        <v>4</v>
      </c>
      <c r="J66" s="20">
        <f t="shared" si="14"/>
        <v>0</v>
      </c>
      <c r="K66" s="19">
        <v>0</v>
      </c>
      <c r="L66" s="19">
        <v>0</v>
      </c>
      <c r="M66" s="33"/>
      <c r="N66" s="20">
        <v>4</v>
      </c>
      <c r="O66" s="20">
        <f t="shared" si="15"/>
        <v>0</v>
      </c>
      <c r="P66" s="19">
        <v>0</v>
      </c>
      <c r="Q66" s="19">
        <v>0</v>
      </c>
      <c r="R66" s="21"/>
      <c r="S66" s="20">
        <v>4</v>
      </c>
      <c r="T66" s="20">
        <f t="shared" si="16"/>
        <v>0</v>
      </c>
      <c r="U66" s="19">
        <v>0</v>
      </c>
      <c r="V66" s="19">
        <v>0</v>
      </c>
      <c r="W66" s="21"/>
      <c r="X66" s="1"/>
      <c r="Y66" s="1"/>
    </row>
    <row r="67" spans="1:28" ht="19" customHeight="1" outlineLevel="1" x14ac:dyDescent="0.2">
      <c r="B67" s="2"/>
      <c r="C67" s="1"/>
      <c r="D67" s="19" t="s">
        <v>0</v>
      </c>
      <c r="E67" s="20" t="s">
        <v>63</v>
      </c>
      <c r="F67" s="20" t="s">
        <v>64</v>
      </c>
      <c r="G67" s="19" t="s">
        <v>37</v>
      </c>
      <c r="H67" s="21"/>
      <c r="I67" s="20">
        <v>5</v>
      </c>
      <c r="J67" s="20">
        <f t="shared" si="14"/>
        <v>0</v>
      </c>
      <c r="K67" s="19">
        <v>0</v>
      </c>
      <c r="L67" s="19">
        <v>0</v>
      </c>
      <c r="M67" s="33"/>
      <c r="N67" s="20">
        <v>5</v>
      </c>
      <c r="O67" s="20">
        <f t="shared" si="15"/>
        <v>0</v>
      </c>
      <c r="P67" s="19">
        <v>0</v>
      </c>
      <c r="Q67" s="19">
        <v>0</v>
      </c>
      <c r="R67" s="21"/>
      <c r="S67" s="20">
        <v>5</v>
      </c>
      <c r="T67" s="20">
        <f t="shared" si="16"/>
        <v>0</v>
      </c>
      <c r="U67" s="19">
        <v>0</v>
      </c>
      <c r="V67" s="19">
        <v>0</v>
      </c>
      <c r="W67" s="21"/>
      <c r="X67" s="1"/>
      <c r="Y67" s="1"/>
    </row>
    <row r="68" spans="1:28" outlineLevel="1" x14ac:dyDescent="0.2">
      <c r="B68" s="2"/>
      <c r="C68" s="1"/>
      <c r="D68" s="19" t="s">
        <v>16</v>
      </c>
      <c r="E68" s="19">
        <f>SUM(K71)</f>
        <v>0</v>
      </c>
      <c r="F68" s="19">
        <f>SUM(L71)</f>
        <v>19</v>
      </c>
      <c r="G68" s="19">
        <f>SUM(E68:F68)</f>
        <v>19</v>
      </c>
      <c r="H68" s="21"/>
      <c r="I68" s="20">
        <v>6</v>
      </c>
      <c r="J68" s="20">
        <f t="shared" si="14"/>
        <v>0</v>
      </c>
      <c r="K68" s="19">
        <v>0</v>
      </c>
      <c r="L68" s="19">
        <v>0</v>
      </c>
      <c r="M68" s="33"/>
      <c r="N68" s="20">
        <v>6</v>
      </c>
      <c r="O68" s="20">
        <f t="shared" si="15"/>
        <v>0</v>
      </c>
      <c r="P68" s="19">
        <v>0</v>
      </c>
      <c r="Q68" s="19">
        <v>0</v>
      </c>
      <c r="R68" s="21"/>
      <c r="S68" s="20">
        <v>6</v>
      </c>
      <c r="T68" s="20">
        <f t="shared" si="16"/>
        <v>0</v>
      </c>
      <c r="U68" s="19">
        <v>0</v>
      </c>
      <c r="V68" s="19">
        <v>0</v>
      </c>
      <c r="W68" s="21"/>
      <c r="X68" s="1"/>
      <c r="Y68" s="1"/>
    </row>
    <row r="69" spans="1:28" outlineLevel="1" x14ac:dyDescent="0.2">
      <c r="B69" s="2"/>
      <c r="C69" s="1"/>
      <c r="D69" s="19" t="s">
        <v>17</v>
      </c>
      <c r="E69" s="19">
        <v>0</v>
      </c>
      <c r="F69" s="19">
        <v>9</v>
      </c>
      <c r="G69" s="19">
        <f>SUM(E69:F69)</f>
        <v>9</v>
      </c>
      <c r="H69" s="21"/>
      <c r="I69" s="20">
        <v>7</v>
      </c>
      <c r="J69" s="20">
        <f t="shared" si="14"/>
        <v>0</v>
      </c>
      <c r="K69" s="19">
        <v>0</v>
      </c>
      <c r="L69" s="19">
        <v>0</v>
      </c>
      <c r="M69" s="33"/>
      <c r="N69" s="20">
        <v>7</v>
      </c>
      <c r="O69" s="20">
        <f t="shared" si="15"/>
        <v>0</v>
      </c>
      <c r="P69" s="19">
        <v>0</v>
      </c>
      <c r="Q69" s="19">
        <v>0</v>
      </c>
      <c r="R69" s="21"/>
      <c r="S69" s="20">
        <v>7</v>
      </c>
      <c r="T69" s="20">
        <f t="shared" si="16"/>
        <v>0</v>
      </c>
      <c r="U69" s="19">
        <v>0</v>
      </c>
      <c r="V69" s="19">
        <v>0</v>
      </c>
      <c r="W69" s="21"/>
      <c r="X69" s="1"/>
      <c r="Y69" s="1"/>
    </row>
    <row r="70" spans="1:28" ht="16" outlineLevel="1" x14ac:dyDescent="0.2">
      <c r="B70" s="36" t="s">
        <v>44</v>
      </c>
      <c r="C70" s="33"/>
      <c r="D70" s="19" t="s">
        <v>40</v>
      </c>
      <c r="E70" s="22"/>
      <c r="F70" s="22">
        <f>MIN(F68,F69)/MAX(F68,F69)</f>
        <v>0.47368421052631576</v>
      </c>
      <c r="G70" s="22">
        <f>MIN(G68,G69)/MAX(G68,G69)</f>
        <v>0.47368421052631576</v>
      </c>
      <c r="H70" s="21"/>
      <c r="I70" s="19" t="s">
        <v>10</v>
      </c>
      <c r="J70" s="20">
        <f>SUM(K70,L70)</f>
        <v>0</v>
      </c>
      <c r="K70" s="19">
        <v>0</v>
      </c>
      <c r="L70" s="19">
        <v>0</v>
      </c>
      <c r="M70" s="33"/>
      <c r="N70" s="19" t="s">
        <v>10</v>
      </c>
      <c r="O70" s="20">
        <f>SUM(P70,Q70)</f>
        <v>2</v>
      </c>
      <c r="P70" s="19">
        <v>0</v>
      </c>
      <c r="Q70" s="19">
        <v>2</v>
      </c>
      <c r="R70" s="21"/>
      <c r="S70" s="19" t="s">
        <v>10</v>
      </c>
      <c r="T70" s="20">
        <f>SUM(U70,V70)</f>
        <v>0</v>
      </c>
      <c r="U70" s="19">
        <v>0</v>
      </c>
      <c r="V70" s="19">
        <v>0</v>
      </c>
      <c r="W70" s="21"/>
      <c r="Y70" s="1"/>
    </row>
    <row r="71" spans="1:28" outlineLevel="1" x14ac:dyDescent="0.2">
      <c r="B71" s="41"/>
      <c r="C71" s="1"/>
      <c r="D71" s="38"/>
      <c r="E71" s="38"/>
      <c r="F71" s="38"/>
      <c r="G71" s="38"/>
      <c r="I71" s="19" t="s">
        <v>13</v>
      </c>
      <c r="J71" s="19">
        <f>(SUM(J63:J70))</f>
        <v>19</v>
      </c>
      <c r="K71" s="19">
        <f>(SUM(K63:K70))</f>
        <v>0</v>
      </c>
      <c r="L71" s="19">
        <f>(SUM(L63:L70))</f>
        <v>19</v>
      </c>
      <c r="M71" s="33"/>
      <c r="N71" s="19" t="s">
        <v>13</v>
      </c>
      <c r="O71" s="19">
        <f>(SUM(O63:O70))</f>
        <v>13</v>
      </c>
      <c r="P71" s="19">
        <f>(SUM(P63:P70))</f>
        <v>0</v>
      </c>
      <c r="Q71" s="19">
        <f>(SUM(Q63:Q70))</f>
        <v>13</v>
      </c>
      <c r="R71" s="21"/>
      <c r="S71" s="19" t="s">
        <v>13</v>
      </c>
      <c r="T71" s="19">
        <f>(SUM(T63:T70))</f>
        <v>6</v>
      </c>
      <c r="U71" s="19">
        <f>(SUM(U63:U70))</f>
        <v>0</v>
      </c>
      <c r="V71" s="19">
        <f>(SUM(V63:V70))</f>
        <v>6</v>
      </c>
      <c r="W71" s="21"/>
    </row>
    <row r="72" spans="1:28" outlineLevel="1" x14ac:dyDescent="0.2">
      <c r="B72" s="2"/>
      <c r="C72" s="1"/>
      <c r="I72" s="38"/>
      <c r="J72" s="38"/>
      <c r="K72" s="38"/>
      <c r="L72" s="38"/>
      <c r="M72" s="1"/>
      <c r="N72" s="38"/>
      <c r="O72" s="38"/>
      <c r="P72" s="38"/>
      <c r="Q72" s="38"/>
      <c r="S72" s="38"/>
      <c r="T72" s="38"/>
      <c r="U72" s="38"/>
      <c r="V72" s="38"/>
    </row>
    <row r="73" spans="1:28" x14ac:dyDescent="0.2">
      <c r="B73" s="2"/>
      <c r="C73" s="1"/>
      <c r="D73" s="1"/>
      <c r="E73" s="1"/>
      <c r="F73" s="1"/>
      <c r="G73" s="1"/>
      <c r="H73" s="1"/>
      <c r="I73" s="1"/>
      <c r="J73" s="1"/>
      <c r="K73" s="1"/>
      <c r="L73" s="1"/>
      <c r="M73" s="1"/>
    </row>
    <row r="74" spans="1:28" ht="19" customHeight="1" outlineLevel="1" x14ac:dyDescent="0.2">
      <c r="A74" s="6" t="s">
        <v>30</v>
      </c>
      <c r="B74" s="2">
        <v>151</v>
      </c>
      <c r="C74" s="1"/>
      <c r="I74" s="20" t="s">
        <v>77</v>
      </c>
      <c r="J74" s="20">
        <v>1</v>
      </c>
      <c r="K74" s="20" t="s">
        <v>12</v>
      </c>
      <c r="L74" s="20" t="s">
        <v>15</v>
      </c>
      <c r="M74" s="33"/>
      <c r="N74" s="20" t="s">
        <v>77</v>
      </c>
      <c r="O74" s="20">
        <v>2</v>
      </c>
      <c r="P74" s="20" t="s">
        <v>12</v>
      </c>
      <c r="Q74" s="20" t="s">
        <v>15</v>
      </c>
      <c r="R74" s="21"/>
      <c r="S74" s="20" t="s">
        <v>77</v>
      </c>
      <c r="T74" s="20">
        <v>3</v>
      </c>
      <c r="U74" s="20" t="s">
        <v>12</v>
      </c>
      <c r="V74" s="20" t="s">
        <v>14</v>
      </c>
      <c r="W74" s="21"/>
      <c r="X74" s="20" t="s">
        <v>77</v>
      </c>
      <c r="Y74" s="20">
        <v>4</v>
      </c>
      <c r="Z74" s="20" t="s">
        <v>12</v>
      </c>
      <c r="AA74" s="20" t="s">
        <v>14</v>
      </c>
      <c r="AB74" s="21"/>
    </row>
    <row r="75" spans="1:28" outlineLevel="1" x14ac:dyDescent="0.2">
      <c r="B75" s="2"/>
      <c r="C75" s="1"/>
      <c r="I75" s="19" t="s">
        <v>11</v>
      </c>
      <c r="J75" s="35" t="s">
        <v>8</v>
      </c>
      <c r="K75" s="19"/>
      <c r="L75" s="19"/>
      <c r="M75" s="33"/>
      <c r="N75" s="19" t="s">
        <v>11</v>
      </c>
      <c r="O75" s="35" t="s">
        <v>5</v>
      </c>
      <c r="P75" s="19"/>
      <c r="Q75" s="19"/>
      <c r="R75" s="21"/>
      <c r="S75" s="19" t="s">
        <v>11</v>
      </c>
      <c r="T75" s="35" t="s">
        <v>6</v>
      </c>
      <c r="U75" s="19"/>
      <c r="V75" s="19"/>
      <c r="W75" s="21"/>
      <c r="X75" s="19" t="s">
        <v>11</v>
      </c>
      <c r="Y75" s="35" t="s">
        <v>7</v>
      </c>
      <c r="Z75" s="19"/>
      <c r="AA75" s="19"/>
      <c r="AB75" s="21"/>
    </row>
    <row r="76" spans="1:28" ht="18" customHeight="1" outlineLevel="1" x14ac:dyDescent="0.2">
      <c r="B76" s="2"/>
      <c r="C76" s="1"/>
      <c r="D76" s="19"/>
      <c r="E76" s="19" t="s">
        <v>60</v>
      </c>
      <c r="F76" s="20" t="s">
        <v>61</v>
      </c>
      <c r="G76" s="19" t="s">
        <v>43</v>
      </c>
      <c r="H76" s="21"/>
      <c r="I76" s="20" t="s">
        <v>9</v>
      </c>
      <c r="J76" s="20" t="s">
        <v>66</v>
      </c>
      <c r="K76" s="20" t="s">
        <v>60</v>
      </c>
      <c r="L76" s="20" t="s">
        <v>62</v>
      </c>
      <c r="M76" s="33"/>
      <c r="N76" s="20" t="s">
        <v>9</v>
      </c>
      <c r="O76" s="20" t="s">
        <v>66</v>
      </c>
      <c r="P76" s="20" t="s">
        <v>60</v>
      </c>
      <c r="Q76" s="20" t="s">
        <v>62</v>
      </c>
      <c r="R76" s="21"/>
      <c r="S76" s="20" t="s">
        <v>9</v>
      </c>
      <c r="T76" s="20" t="s">
        <v>66</v>
      </c>
      <c r="U76" s="20" t="s">
        <v>60</v>
      </c>
      <c r="V76" s="20" t="s">
        <v>62</v>
      </c>
      <c r="W76" s="21"/>
      <c r="X76" s="20" t="s">
        <v>9</v>
      </c>
      <c r="Y76" s="20" t="s">
        <v>66</v>
      </c>
      <c r="Z76" s="20" t="s">
        <v>60</v>
      </c>
      <c r="AA76" s="20" t="s">
        <v>62</v>
      </c>
      <c r="AB76" s="21"/>
    </row>
    <row r="77" spans="1:28" outlineLevel="1" x14ac:dyDescent="0.2">
      <c r="B77" s="2"/>
      <c r="C77" s="1"/>
      <c r="D77" s="19" t="s">
        <v>16</v>
      </c>
      <c r="E77" s="19">
        <f>SUM(K85,P85,U85,Z85)</f>
        <v>0</v>
      </c>
      <c r="F77" s="19">
        <f>SUM(L85,Q85,V85,AA85)</f>
        <v>104</v>
      </c>
      <c r="G77" s="19">
        <f>SUM(E77:F77)</f>
        <v>104</v>
      </c>
      <c r="H77" s="21"/>
      <c r="I77" s="20">
        <v>1</v>
      </c>
      <c r="J77" s="20">
        <f>SUM(K77,L77)</f>
        <v>3</v>
      </c>
      <c r="K77" s="20">
        <v>0</v>
      </c>
      <c r="L77" s="20">
        <v>3</v>
      </c>
      <c r="M77" s="33"/>
      <c r="N77" s="20">
        <v>1</v>
      </c>
      <c r="O77" s="20">
        <f>SUM(P77,Q77)</f>
        <v>4</v>
      </c>
      <c r="P77" s="20">
        <v>0</v>
      </c>
      <c r="Q77" s="20">
        <v>4</v>
      </c>
      <c r="R77" s="21"/>
      <c r="S77" s="20">
        <v>1</v>
      </c>
      <c r="T77" s="20">
        <f>SUM(U77,V77)</f>
        <v>4</v>
      </c>
      <c r="U77" s="20">
        <v>0</v>
      </c>
      <c r="V77" s="20">
        <v>4</v>
      </c>
      <c r="W77" s="21"/>
      <c r="X77" s="20">
        <v>1</v>
      </c>
      <c r="Y77" s="20">
        <f>SUM(Z77,AA77)</f>
        <v>2</v>
      </c>
      <c r="Z77" s="20">
        <v>0</v>
      </c>
      <c r="AA77" s="20">
        <v>2</v>
      </c>
      <c r="AB77" s="21"/>
    </row>
    <row r="78" spans="1:28" outlineLevel="1" x14ac:dyDescent="0.2">
      <c r="B78" s="2"/>
      <c r="C78" s="1"/>
      <c r="D78" s="19" t="s">
        <v>17</v>
      </c>
      <c r="E78" s="19"/>
      <c r="F78" s="19">
        <v>79</v>
      </c>
      <c r="G78" s="19">
        <v>79</v>
      </c>
      <c r="H78" s="21"/>
      <c r="I78" s="19">
        <v>2</v>
      </c>
      <c r="J78" s="20">
        <f t="shared" ref="J78:J83" si="17">SUM(K78,L78)</f>
        <v>6</v>
      </c>
      <c r="K78" s="19">
        <v>0</v>
      </c>
      <c r="L78" s="19">
        <v>6</v>
      </c>
      <c r="M78" s="33"/>
      <c r="N78" s="19">
        <v>2</v>
      </c>
      <c r="O78" s="20">
        <f t="shared" ref="O78:O83" si="18">SUM(P78,Q78)</f>
        <v>8</v>
      </c>
      <c r="P78" s="19">
        <v>0</v>
      </c>
      <c r="Q78" s="19">
        <v>8</v>
      </c>
      <c r="R78" s="21"/>
      <c r="S78" s="19">
        <v>2</v>
      </c>
      <c r="T78" s="20">
        <f t="shared" ref="T78:T83" si="19">SUM(U78,V78)</f>
        <v>4</v>
      </c>
      <c r="U78" s="19">
        <v>0</v>
      </c>
      <c r="V78" s="19">
        <v>4</v>
      </c>
      <c r="W78" s="21"/>
      <c r="X78" s="19">
        <v>2</v>
      </c>
      <c r="Y78" s="20">
        <f t="shared" ref="Y78:Y83" si="20">SUM(Z78,AA78)</f>
        <v>2</v>
      </c>
      <c r="Z78" s="19">
        <v>0</v>
      </c>
      <c r="AA78" s="19">
        <v>2</v>
      </c>
      <c r="AB78" s="21"/>
    </row>
    <row r="79" spans="1:28" outlineLevel="1" x14ac:dyDescent="0.2">
      <c r="B79" s="2"/>
      <c r="C79" s="1"/>
      <c r="D79" s="19" t="s">
        <v>40</v>
      </c>
      <c r="E79" s="19"/>
      <c r="F79" s="22">
        <f>MIN(F77,F78)/MAX(F77,F78)</f>
        <v>0.75961538461538458</v>
      </c>
      <c r="G79" s="22">
        <f>MIN(G77,G78)/MAX(G77,G78)</f>
        <v>0.75961538461538458</v>
      </c>
      <c r="H79" s="21"/>
      <c r="I79" s="19">
        <v>3</v>
      </c>
      <c r="J79" s="20">
        <f t="shared" si="17"/>
        <v>6</v>
      </c>
      <c r="K79" s="19">
        <v>0</v>
      </c>
      <c r="L79" s="19">
        <v>6</v>
      </c>
      <c r="M79" s="33"/>
      <c r="N79" s="19">
        <v>3</v>
      </c>
      <c r="O79" s="20">
        <f t="shared" si="18"/>
        <v>8</v>
      </c>
      <c r="P79" s="19">
        <v>0</v>
      </c>
      <c r="Q79" s="19">
        <v>8</v>
      </c>
      <c r="R79" s="21"/>
      <c r="S79" s="19">
        <v>3</v>
      </c>
      <c r="T79" s="20">
        <f t="shared" si="19"/>
        <v>4</v>
      </c>
      <c r="U79" s="19">
        <v>0</v>
      </c>
      <c r="V79" s="19">
        <v>4</v>
      </c>
      <c r="W79" s="21"/>
      <c r="X79" s="19">
        <v>3</v>
      </c>
      <c r="Y79" s="20">
        <f t="shared" si="20"/>
        <v>2</v>
      </c>
      <c r="Z79" s="19">
        <v>0</v>
      </c>
      <c r="AA79" s="19">
        <v>2</v>
      </c>
      <c r="AB79" s="21"/>
    </row>
    <row r="80" spans="1:28" outlineLevel="1" x14ac:dyDescent="0.2">
      <c r="B80" s="2"/>
      <c r="C80" s="1"/>
      <c r="D80" s="38"/>
      <c r="E80" s="38"/>
      <c r="F80" s="38"/>
      <c r="G80" s="38"/>
      <c r="I80" s="20">
        <v>4</v>
      </c>
      <c r="J80" s="20">
        <f t="shared" si="17"/>
        <v>6</v>
      </c>
      <c r="K80" s="19">
        <v>0</v>
      </c>
      <c r="L80" s="19">
        <v>6</v>
      </c>
      <c r="M80" s="33"/>
      <c r="N80" s="20">
        <v>4</v>
      </c>
      <c r="O80" s="20">
        <f t="shared" si="18"/>
        <v>8</v>
      </c>
      <c r="P80" s="19">
        <v>0</v>
      </c>
      <c r="Q80" s="19">
        <v>8</v>
      </c>
      <c r="R80" s="21"/>
      <c r="S80" s="20">
        <v>4</v>
      </c>
      <c r="T80" s="20">
        <f t="shared" si="19"/>
        <v>4</v>
      </c>
      <c r="U80" s="19">
        <v>0</v>
      </c>
      <c r="V80" s="19">
        <v>4</v>
      </c>
      <c r="W80" s="21"/>
      <c r="X80" s="20">
        <v>4</v>
      </c>
      <c r="Y80" s="20">
        <f t="shared" si="20"/>
        <v>2</v>
      </c>
      <c r="Z80" s="19">
        <v>0</v>
      </c>
      <c r="AA80" s="19">
        <v>2</v>
      </c>
      <c r="AB80" s="21"/>
    </row>
    <row r="81" spans="1:28" ht="18" customHeight="1" outlineLevel="1" x14ac:dyDescent="0.2">
      <c r="B81" s="2"/>
      <c r="C81" s="1"/>
      <c r="D81" s="19" t="s">
        <v>0</v>
      </c>
      <c r="E81" s="20" t="s">
        <v>63</v>
      </c>
      <c r="F81" s="20" t="s">
        <v>64</v>
      </c>
      <c r="G81" s="19" t="s">
        <v>37</v>
      </c>
      <c r="H81" s="21"/>
      <c r="I81" s="20">
        <v>5</v>
      </c>
      <c r="J81" s="20">
        <f t="shared" si="17"/>
        <v>5</v>
      </c>
      <c r="K81" s="19">
        <v>0</v>
      </c>
      <c r="L81" s="19">
        <v>5</v>
      </c>
      <c r="M81" s="33"/>
      <c r="N81" s="20">
        <v>5</v>
      </c>
      <c r="O81" s="20">
        <f t="shared" si="18"/>
        <v>8</v>
      </c>
      <c r="P81" s="19">
        <v>0</v>
      </c>
      <c r="Q81" s="19">
        <v>8</v>
      </c>
      <c r="R81" s="21"/>
      <c r="S81" s="20">
        <v>5</v>
      </c>
      <c r="T81" s="20">
        <f t="shared" si="19"/>
        <v>0</v>
      </c>
      <c r="U81" s="19">
        <v>0</v>
      </c>
      <c r="V81" s="19">
        <v>0</v>
      </c>
      <c r="W81" s="21"/>
      <c r="X81" s="20">
        <v>5</v>
      </c>
      <c r="Y81" s="20">
        <f t="shared" si="20"/>
        <v>3</v>
      </c>
      <c r="Z81" s="19">
        <v>0</v>
      </c>
      <c r="AA81" s="19">
        <v>3</v>
      </c>
      <c r="AB81" s="21"/>
    </row>
    <row r="82" spans="1:28" outlineLevel="1" x14ac:dyDescent="0.2">
      <c r="B82" s="2"/>
      <c r="C82" s="1"/>
      <c r="D82" s="19" t="s">
        <v>16</v>
      </c>
      <c r="E82" s="19">
        <f>SUM(P85,K85)</f>
        <v>0</v>
      </c>
      <c r="F82" s="19">
        <f>SUM(Q85,L85)</f>
        <v>72</v>
      </c>
      <c r="G82" s="19">
        <f>SUM(E82:F82)</f>
        <v>72</v>
      </c>
      <c r="H82" s="21"/>
      <c r="I82" s="20">
        <v>6</v>
      </c>
      <c r="J82" s="20">
        <f t="shared" si="17"/>
        <v>0</v>
      </c>
      <c r="K82" s="19">
        <v>0</v>
      </c>
      <c r="L82" s="19">
        <v>0</v>
      </c>
      <c r="M82" s="33"/>
      <c r="N82" s="20">
        <v>6</v>
      </c>
      <c r="O82" s="20">
        <f t="shared" si="18"/>
        <v>0</v>
      </c>
      <c r="P82" s="19">
        <v>0</v>
      </c>
      <c r="Q82" s="19">
        <v>0</v>
      </c>
      <c r="R82" s="21"/>
      <c r="S82" s="20">
        <v>6</v>
      </c>
      <c r="T82" s="20">
        <f t="shared" si="19"/>
        <v>0</v>
      </c>
      <c r="U82" s="19">
        <v>0</v>
      </c>
      <c r="V82" s="19">
        <v>0</v>
      </c>
      <c r="W82" s="21"/>
      <c r="X82" s="20">
        <v>6</v>
      </c>
      <c r="Y82" s="20">
        <f t="shared" si="20"/>
        <v>3</v>
      </c>
      <c r="Z82" s="19">
        <v>0</v>
      </c>
      <c r="AA82" s="19">
        <v>3</v>
      </c>
      <c r="AB82" s="21"/>
    </row>
    <row r="83" spans="1:28" outlineLevel="1" x14ac:dyDescent="0.2">
      <c r="B83" s="2"/>
      <c r="C83" s="1"/>
      <c r="D83" s="19" t="s">
        <v>17</v>
      </c>
      <c r="E83" s="19">
        <v>0</v>
      </c>
      <c r="F83" s="19">
        <v>70</v>
      </c>
      <c r="G83" s="19">
        <f>SUM(E83:F83)</f>
        <v>70</v>
      </c>
      <c r="H83" s="21"/>
      <c r="I83" s="20">
        <v>7</v>
      </c>
      <c r="J83" s="20">
        <f t="shared" si="17"/>
        <v>0</v>
      </c>
      <c r="K83" s="19">
        <v>0</v>
      </c>
      <c r="L83" s="19">
        <v>0</v>
      </c>
      <c r="M83" s="33"/>
      <c r="N83" s="20">
        <v>7</v>
      </c>
      <c r="O83" s="20">
        <f t="shared" si="18"/>
        <v>0</v>
      </c>
      <c r="P83" s="19">
        <v>0</v>
      </c>
      <c r="Q83" s="19">
        <v>0</v>
      </c>
      <c r="R83" s="21"/>
      <c r="S83" s="20">
        <v>7</v>
      </c>
      <c r="T83" s="20">
        <f t="shared" si="19"/>
        <v>0</v>
      </c>
      <c r="U83" s="19">
        <v>0</v>
      </c>
      <c r="V83" s="19">
        <v>0</v>
      </c>
      <c r="W83" s="21"/>
      <c r="X83" s="20">
        <v>7</v>
      </c>
      <c r="Y83" s="20">
        <f t="shared" si="20"/>
        <v>0</v>
      </c>
      <c r="Z83" s="19">
        <v>0</v>
      </c>
      <c r="AA83" s="19">
        <v>0</v>
      </c>
      <c r="AB83" s="21"/>
    </row>
    <row r="84" spans="1:28" outlineLevel="1" x14ac:dyDescent="0.2">
      <c r="B84" s="2"/>
      <c r="C84" s="1"/>
      <c r="D84" s="19" t="s">
        <v>40</v>
      </c>
      <c r="E84" s="22"/>
      <c r="F84" s="22">
        <f>MIN(F82,F83)/MAX(F82,F83)</f>
        <v>0.97222222222222221</v>
      </c>
      <c r="G84" s="22">
        <f>MIN(G82,G83)/MAX(G82,G83)</f>
        <v>0.97222222222222221</v>
      </c>
      <c r="H84" s="21"/>
      <c r="I84" s="19" t="s">
        <v>10</v>
      </c>
      <c r="J84" s="20">
        <f>SUM(K84,L84)</f>
        <v>3</v>
      </c>
      <c r="K84" s="19">
        <v>0</v>
      </c>
      <c r="L84" s="19">
        <v>3</v>
      </c>
      <c r="M84" s="33"/>
      <c r="N84" s="19" t="s">
        <v>10</v>
      </c>
      <c r="O84" s="20">
        <f>SUM(P84,Q84)</f>
        <v>7</v>
      </c>
      <c r="P84" s="19">
        <v>0</v>
      </c>
      <c r="Q84" s="19">
        <v>7</v>
      </c>
      <c r="R84" s="21"/>
      <c r="S84" s="19" t="s">
        <v>10</v>
      </c>
      <c r="T84" s="20">
        <f>SUM(U84,V84)</f>
        <v>0</v>
      </c>
      <c r="U84" s="19">
        <v>0</v>
      </c>
      <c r="V84" s="19">
        <v>0</v>
      </c>
      <c r="W84" s="21"/>
      <c r="X84" s="19" t="s">
        <v>10</v>
      </c>
      <c r="Y84" s="20">
        <f>SUM(Z84,AA84)</f>
        <v>2</v>
      </c>
      <c r="Z84" s="19">
        <v>0</v>
      </c>
      <c r="AA84" s="19">
        <v>2</v>
      </c>
      <c r="AB84" s="21"/>
    </row>
    <row r="85" spans="1:28" outlineLevel="1" x14ac:dyDescent="0.2">
      <c r="B85" s="2"/>
      <c r="C85" s="1"/>
      <c r="D85" s="38"/>
      <c r="E85" s="38"/>
      <c r="F85" s="38"/>
      <c r="G85" s="38"/>
      <c r="I85" s="19" t="s">
        <v>13</v>
      </c>
      <c r="J85" s="19">
        <f>(SUM(J77:J84))</f>
        <v>29</v>
      </c>
      <c r="K85" s="19">
        <f>(SUM(K77:K84))</f>
        <v>0</v>
      </c>
      <c r="L85" s="19">
        <f>(SUM(L77:L84))</f>
        <v>29</v>
      </c>
      <c r="M85" s="33"/>
      <c r="N85" s="19" t="s">
        <v>13</v>
      </c>
      <c r="O85" s="19">
        <f>(SUM(O77:O84))</f>
        <v>43</v>
      </c>
      <c r="P85" s="19">
        <f>(SUM(P77:P84))</f>
        <v>0</v>
      </c>
      <c r="Q85" s="19">
        <f>(SUM(Q77:Q84))</f>
        <v>43</v>
      </c>
      <c r="R85" s="21"/>
      <c r="S85" s="19" t="s">
        <v>13</v>
      </c>
      <c r="T85" s="19">
        <f>(SUM(T77:T84))</f>
        <v>16</v>
      </c>
      <c r="U85" s="19">
        <f>(SUM(U77:U84))</f>
        <v>0</v>
      </c>
      <c r="V85" s="19">
        <f>(SUM(V77:V84))</f>
        <v>16</v>
      </c>
      <c r="W85" s="21"/>
      <c r="X85" s="19" t="s">
        <v>13</v>
      </c>
      <c r="Y85" s="19">
        <f>(SUM(Y77:Y84))</f>
        <v>16</v>
      </c>
      <c r="Z85" s="19">
        <f>(SUM(Z77:Z84))</f>
        <v>0</v>
      </c>
      <c r="AA85" s="19">
        <f>(SUM(AA77:AA84))</f>
        <v>16</v>
      </c>
      <c r="AB85" s="21"/>
    </row>
    <row r="86" spans="1:28" x14ac:dyDescent="0.2">
      <c r="B86" s="2"/>
      <c r="C86" s="1"/>
      <c r="D86" s="1"/>
      <c r="E86" s="1"/>
      <c r="F86" s="1"/>
      <c r="G86" s="1"/>
      <c r="H86" s="1"/>
      <c r="I86" s="39"/>
      <c r="J86" s="39"/>
      <c r="K86" s="39"/>
      <c r="L86" s="39"/>
      <c r="M86" s="1"/>
      <c r="N86" s="38"/>
      <c r="O86" s="38"/>
      <c r="P86" s="38"/>
      <c r="Q86" s="38"/>
      <c r="S86" s="38"/>
      <c r="T86" s="38"/>
      <c r="U86" s="38"/>
      <c r="V86" s="38"/>
      <c r="X86" s="38"/>
      <c r="Y86" s="38"/>
      <c r="Z86" s="38"/>
      <c r="AA86" s="38"/>
    </row>
    <row r="87" spans="1:28" ht="16" thickBot="1" x14ac:dyDescent="0.25">
      <c r="B87" s="2"/>
      <c r="C87" s="1"/>
      <c r="E87" s="1"/>
      <c r="F87" s="1"/>
      <c r="G87" s="1"/>
      <c r="H87" s="1"/>
      <c r="I87" s="1"/>
      <c r="J87" s="1"/>
      <c r="K87" s="1"/>
      <c r="L87" s="1"/>
      <c r="M87" s="1"/>
    </row>
    <row r="88" spans="1:28" x14ac:dyDescent="0.2">
      <c r="B88" s="2"/>
      <c r="C88" s="1"/>
      <c r="D88" s="81" t="s">
        <v>54</v>
      </c>
      <c r="E88" s="82"/>
      <c r="F88" s="82"/>
      <c r="G88" s="82"/>
      <c r="H88" s="56"/>
      <c r="I88" s="1"/>
      <c r="J88" s="1"/>
      <c r="K88" s="1"/>
      <c r="L88" s="1"/>
      <c r="M88" s="1"/>
    </row>
    <row r="89" spans="1:28" ht="16" x14ac:dyDescent="0.2">
      <c r="B89" s="2"/>
      <c r="C89" s="1"/>
      <c r="D89" s="18" t="s">
        <v>38</v>
      </c>
      <c r="E89" s="19" t="s">
        <v>60</v>
      </c>
      <c r="F89" s="20" t="s">
        <v>61</v>
      </c>
      <c r="G89" s="19" t="s">
        <v>43</v>
      </c>
      <c r="H89" s="56"/>
      <c r="I89" s="1"/>
      <c r="J89" s="1"/>
      <c r="K89" s="1"/>
      <c r="L89" s="1"/>
      <c r="M89" s="1"/>
    </row>
    <row r="90" spans="1:28" x14ac:dyDescent="0.2">
      <c r="B90" s="2"/>
      <c r="C90" s="1"/>
      <c r="D90" s="18" t="s">
        <v>16</v>
      </c>
      <c r="E90" s="19">
        <f>SUM(E77,E63,E49,E35,E21,E7)</f>
        <v>56</v>
      </c>
      <c r="F90" s="19">
        <f>SUM(F77,F63,F49,F35,F21,F7)</f>
        <v>290</v>
      </c>
      <c r="G90" s="19">
        <f>SUM(E90:F90)</f>
        <v>346</v>
      </c>
      <c r="H90" s="56"/>
      <c r="I90" s="1"/>
      <c r="J90" s="1"/>
      <c r="K90" s="1"/>
      <c r="L90" s="1"/>
      <c r="M90" s="1"/>
    </row>
    <row r="91" spans="1:28" x14ac:dyDescent="0.2">
      <c r="B91" s="2"/>
      <c r="C91" s="1"/>
      <c r="D91" s="18" t="s">
        <v>17</v>
      </c>
      <c r="E91" s="19">
        <f>SUM(E78,E64,E50,E36,E22,E8)</f>
        <v>31</v>
      </c>
      <c r="F91" s="19">
        <f>SUM(F78,F64,F50,F36,F22,F8)</f>
        <v>283</v>
      </c>
      <c r="G91" s="19">
        <f>SUM(E91:F91)</f>
        <v>314</v>
      </c>
      <c r="H91" s="56"/>
      <c r="I91" s="1"/>
      <c r="J91" s="1"/>
      <c r="K91" s="1"/>
      <c r="L91" s="1"/>
      <c r="M91" s="1"/>
    </row>
    <row r="92" spans="1:28" x14ac:dyDescent="0.2">
      <c r="A92" s="1"/>
      <c r="D92" s="18" t="s">
        <v>40</v>
      </c>
      <c r="E92" s="22">
        <f>MIN(E90,E91)/MAX(E90,E91)</f>
        <v>0.5535714285714286</v>
      </c>
      <c r="F92" s="22">
        <f>MIN(F90,F91)/MAX(F90,F91)</f>
        <v>0.97586206896551719</v>
      </c>
      <c r="G92" s="22">
        <f>MIN(G90,G91)/MAX(G90,G91)</f>
        <v>0.90751445086705207</v>
      </c>
      <c r="H92" s="21"/>
      <c r="J92" s="1"/>
      <c r="M92" s="1"/>
      <c r="O92" s="1"/>
      <c r="T92" s="1"/>
      <c r="Y92" s="1"/>
    </row>
    <row r="93" spans="1:28" x14ac:dyDescent="0.2">
      <c r="A93" s="1"/>
      <c r="D93" s="18"/>
      <c r="E93" s="19"/>
      <c r="F93" s="19"/>
      <c r="G93" s="19"/>
      <c r="H93" s="15"/>
      <c r="M93" s="1"/>
    </row>
    <row r="94" spans="1:28" ht="18" customHeight="1" x14ac:dyDescent="0.2">
      <c r="D94" s="18" t="s">
        <v>39</v>
      </c>
      <c r="E94" s="20" t="s">
        <v>63</v>
      </c>
      <c r="F94" s="20" t="s">
        <v>64</v>
      </c>
      <c r="G94" s="19" t="s">
        <v>37</v>
      </c>
      <c r="H94" s="15"/>
    </row>
    <row r="95" spans="1:28" x14ac:dyDescent="0.2">
      <c r="D95" s="18" t="s">
        <v>16</v>
      </c>
      <c r="E95" s="19">
        <f>SUM(E82,E68,E54,E40,E26,E12)</f>
        <v>37</v>
      </c>
      <c r="F95" s="19">
        <f>SUM(F82,F68,F54,F40,F26,F12)</f>
        <v>175</v>
      </c>
      <c r="G95" s="19">
        <f>SUM(E95:F95)</f>
        <v>212</v>
      </c>
      <c r="H95" s="15"/>
    </row>
    <row r="96" spans="1:28" x14ac:dyDescent="0.2">
      <c r="D96" s="18" t="s">
        <v>17</v>
      </c>
      <c r="E96" s="19">
        <f>SUM(E83,E69,E55,E41,E27,E13)</f>
        <v>19</v>
      </c>
      <c r="F96" s="19">
        <f>SUM(F83,F69,F55,F41,F27,F13)</f>
        <v>191</v>
      </c>
      <c r="G96" s="19">
        <f>SUM(E96:F96)</f>
        <v>210</v>
      </c>
      <c r="H96" s="15"/>
    </row>
    <row r="97" spans="2:8" ht="16" thickBot="1" x14ac:dyDescent="0.25">
      <c r="D97" s="18" t="s">
        <v>40</v>
      </c>
      <c r="E97" s="22">
        <f>MIN(E95,E96)/MAX(E95,E96)</f>
        <v>0.51351351351351349</v>
      </c>
      <c r="F97" s="22">
        <f>MIN(F95,F96)/MAX(F95,F96)</f>
        <v>0.91623036649214662</v>
      </c>
      <c r="G97" s="22">
        <f>MIN(G95,G96)/MAX(G95,G96)</f>
        <v>0.99056603773584906</v>
      </c>
      <c r="H97" s="15"/>
    </row>
    <row r="98" spans="2:8" x14ac:dyDescent="0.2">
      <c r="D98" s="57"/>
      <c r="E98" s="57"/>
      <c r="F98" s="57"/>
      <c r="G98" s="57"/>
    </row>
    <row r="99" spans="2:8" x14ac:dyDescent="0.2">
      <c r="D99" s="1"/>
      <c r="E99" s="1"/>
      <c r="F99" s="1"/>
      <c r="G99" s="1"/>
    </row>
    <row r="100" spans="2:8" x14ac:dyDescent="0.2">
      <c r="D100" s="1"/>
      <c r="E100" s="1"/>
      <c r="F100" s="1"/>
      <c r="G100" s="1"/>
    </row>
    <row r="101" spans="2:8" x14ac:dyDescent="0.2">
      <c r="D101" s="1"/>
      <c r="E101" s="1"/>
      <c r="F101" s="1"/>
      <c r="G101" s="1"/>
    </row>
    <row r="103" spans="2:8" x14ac:dyDescent="0.2">
      <c r="B103" s="7" t="s">
        <v>5</v>
      </c>
    </row>
    <row r="104" spans="2:8" x14ac:dyDescent="0.2">
      <c r="B104" s="7" t="s">
        <v>6</v>
      </c>
    </row>
    <row r="105" spans="2:8" x14ac:dyDescent="0.2">
      <c r="B105" s="7" t="s">
        <v>7</v>
      </c>
    </row>
    <row r="106" spans="2:8" x14ac:dyDescent="0.2">
      <c r="B106" s="7" t="s">
        <v>8</v>
      </c>
    </row>
    <row r="107" spans="2:8" x14ac:dyDescent="0.2">
      <c r="D107" s="6" t="s">
        <v>14</v>
      </c>
      <c r="E107" s="6">
        <v>1</v>
      </c>
    </row>
    <row r="108" spans="2:8" x14ac:dyDescent="0.2">
      <c r="D108" s="6" t="s">
        <v>15</v>
      </c>
      <c r="E108" s="6">
        <v>2</v>
      </c>
    </row>
    <row r="109" spans="2:8" x14ac:dyDescent="0.2">
      <c r="E109" s="6">
        <v>3</v>
      </c>
    </row>
    <row r="110" spans="2:8" x14ac:dyDescent="0.2">
      <c r="E110" s="6">
        <v>4</v>
      </c>
    </row>
    <row r="111" spans="2:8" x14ac:dyDescent="0.2">
      <c r="E111" s="6">
        <v>5</v>
      </c>
    </row>
    <row r="112" spans="2:8" x14ac:dyDescent="0.2">
      <c r="E112" s="6">
        <v>6</v>
      </c>
    </row>
    <row r="113" spans="5:5" x14ac:dyDescent="0.2">
      <c r="E113" s="6">
        <v>7</v>
      </c>
    </row>
    <row r="114" spans="5:5" x14ac:dyDescent="0.2">
      <c r="E114" s="6">
        <v>8</v>
      </c>
    </row>
    <row r="115" spans="5:5" x14ac:dyDescent="0.2">
      <c r="E115" s="6">
        <v>9</v>
      </c>
    </row>
    <row r="116" spans="5:5" x14ac:dyDescent="0.2">
      <c r="E116" s="6">
        <v>10</v>
      </c>
    </row>
    <row r="117" spans="5:5" x14ac:dyDescent="0.2">
      <c r="E117" s="6">
        <v>11</v>
      </c>
    </row>
    <row r="118" spans="5:5" x14ac:dyDescent="0.2">
      <c r="E118" s="6">
        <v>12</v>
      </c>
    </row>
  </sheetData>
  <mergeCells count="2">
    <mergeCell ref="D88:G88"/>
    <mergeCell ref="Z1:AA1"/>
  </mergeCells>
  <conditionalFormatting sqref="E9:G9">
    <cfRule type="colorScale" priority="8">
      <colorScale>
        <cfvo type="num" val="0"/>
        <cfvo type="num" val="0.75"/>
        <cfvo type="num" val="1"/>
        <color rgb="FFFF7128"/>
        <color rgb="FFFFEB84"/>
        <color theme="9" tint="-0.249977111117893"/>
      </colorScale>
    </cfRule>
  </conditionalFormatting>
  <conditionalFormatting sqref="E14:G14">
    <cfRule type="colorScale" priority="14">
      <colorScale>
        <cfvo type="num" val="0"/>
        <cfvo type="num" val="0.75"/>
        <cfvo type="num" val="1"/>
        <color rgb="FFFF7128"/>
        <color rgb="FFFFEB84"/>
        <color theme="9" tint="-0.249977111117893"/>
      </colorScale>
    </cfRule>
  </conditionalFormatting>
  <conditionalFormatting sqref="E23:G23">
    <cfRule type="colorScale" priority="7">
      <colorScale>
        <cfvo type="num" val="0"/>
        <cfvo type="num" val="0.75"/>
        <cfvo type="num" val="1"/>
        <color rgb="FFFF7128"/>
        <color rgb="FFFFEB84"/>
        <color theme="9" tint="-0.249977111117893"/>
      </colorScale>
    </cfRule>
  </conditionalFormatting>
  <conditionalFormatting sqref="E28:G28">
    <cfRule type="colorScale" priority="13">
      <colorScale>
        <cfvo type="num" val="0"/>
        <cfvo type="num" val="0.75"/>
        <cfvo type="num" val="1"/>
        <color rgb="FFFF7128"/>
        <color rgb="FFFFEB84"/>
        <color theme="9" tint="-0.249977111117893"/>
      </colorScale>
    </cfRule>
  </conditionalFormatting>
  <conditionalFormatting sqref="E51:G51">
    <cfRule type="colorScale" priority="5">
      <colorScale>
        <cfvo type="num" val="0"/>
        <cfvo type="num" val="0.75"/>
        <cfvo type="num" val="1"/>
        <color rgb="FFFF7128"/>
        <color rgb="FFFFEB84"/>
        <color theme="9" tint="-0.249977111117893"/>
      </colorScale>
    </cfRule>
  </conditionalFormatting>
  <conditionalFormatting sqref="E56:G56">
    <cfRule type="colorScale" priority="11">
      <colorScale>
        <cfvo type="num" val="0"/>
        <cfvo type="num" val="0.75"/>
        <cfvo type="num" val="1"/>
        <color rgb="FFFF7128"/>
        <color rgb="FFFFEB84"/>
        <color theme="9" tint="-0.249977111117893"/>
      </colorScale>
    </cfRule>
  </conditionalFormatting>
  <conditionalFormatting sqref="E92:G92">
    <cfRule type="colorScale" priority="2">
      <colorScale>
        <cfvo type="num" val="0"/>
        <cfvo type="num" val="0.75"/>
        <cfvo type="num" val="1"/>
        <color rgb="FFFF7128"/>
        <color rgb="FFFFEB84"/>
        <color theme="9" tint="-0.249977111117893"/>
      </colorScale>
    </cfRule>
  </conditionalFormatting>
  <conditionalFormatting sqref="E97:G97">
    <cfRule type="colorScale" priority="1">
      <colorScale>
        <cfvo type="num" val="0"/>
        <cfvo type="num" val="0.75"/>
        <cfvo type="num" val="1"/>
        <color rgb="FFFF7128"/>
        <color rgb="FFFFEB84"/>
        <color theme="9" tint="-0.249977111117893"/>
      </colorScale>
    </cfRule>
  </conditionalFormatting>
  <conditionalFormatting sqref="F37:G37">
    <cfRule type="colorScale" priority="6">
      <colorScale>
        <cfvo type="num" val="0"/>
        <cfvo type="num" val="0.75"/>
        <cfvo type="num" val="1"/>
        <color rgb="FFFF7128"/>
        <color rgb="FFFFEB84"/>
        <color theme="9" tint="-0.249977111117893"/>
      </colorScale>
    </cfRule>
  </conditionalFormatting>
  <conditionalFormatting sqref="F42:G42">
    <cfRule type="colorScale" priority="12">
      <colorScale>
        <cfvo type="num" val="0"/>
        <cfvo type="num" val="0.75"/>
        <cfvo type="num" val="1"/>
        <color rgb="FFFF7128"/>
        <color rgb="FFFFEB84"/>
        <color theme="9" tint="-0.249977111117893"/>
      </colorScale>
    </cfRule>
  </conditionalFormatting>
  <conditionalFormatting sqref="F65:G65">
    <cfRule type="colorScale" priority="4">
      <colorScale>
        <cfvo type="num" val="0"/>
        <cfvo type="num" val="0.75"/>
        <cfvo type="num" val="1"/>
        <color rgb="FFFF7128"/>
        <color rgb="FFFFEB84"/>
        <color theme="9" tint="-0.249977111117893"/>
      </colorScale>
    </cfRule>
  </conditionalFormatting>
  <conditionalFormatting sqref="F70:G70">
    <cfRule type="colorScale" priority="10">
      <colorScale>
        <cfvo type="num" val="0"/>
        <cfvo type="num" val="0.75"/>
        <cfvo type="num" val="1"/>
        <color rgb="FFFF7128"/>
        <color rgb="FFFFEB84"/>
        <color theme="9" tint="-0.249977111117893"/>
      </colorScale>
    </cfRule>
  </conditionalFormatting>
  <conditionalFormatting sqref="F79:G79">
    <cfRule type="colorScale" priority="3">
      <colorScale>
        <cfvo type="num" val="0"/>
        <cfvo type="num" val="0.75"/>
        <cfvo type="num" val="1"/>
        <color rgb="FFFF7128"/>
        <color rgb="FFFFEB84"/>
        <color theme="9" tint="-0.249977111117893"/>
      </colorScale>
    </cfRule>
  </conditionalFormatting>
  <conditionalFormatting sqref="F84:G84">
    <cfRule type="colorScale" priority="9">
      <colorScale>
        <cfvo type="num" val="0"/>
        <cfvo type="num" val="0.75"/>
        <cfvo type="num" val="1"/>
        <color rgb="FFFF7128"/>
        <color rgb="FFFFEB84"/>
        <color theme="9" tint="-0.249977111117893"/>
      </colorScale>
    </cfRule>
  </conditionalFormatting>
  <dataValidations count="3">
    <dataValidation type="list" allowBlank="1" showInputMessage="1" showErrorMessage="1" sqref="AA18 L4 Q4 V4 AA4 L32 V18 V32 AA32 L18 Q18 Q32 L60 Q60 V60 AA60 L74 Q74 V74 AA74" xr:uid="{E0450D2F-D271-F64F-B4C2-2475338729D0}">
      <formula1>$D$107:$D$108</formula1>
    </dataValidation>
    <dataValidation type="list" allowBlank="1" showInputMessage="1" showErrorMessage="1" sqref="Y18 J4 O4 T4 Y4 J32 O32 T32 Y32 J18 O18 T18" xr:uid="{0C7721E2-2AA8-C04A-9E41-A60DF9310F26}">
      <formula1>$E$107:$E$118</formula1>
    </dataValidation>
    <dataValidation type="list" allowBlank="1" showInputMessage="1" showErrorMessage="1" sqref="J19 Y5 T5 O5 J5 Y33 T33 O33 O19 Y19 T19 J33 J61 O61 T61 Y61 J75 O75 T75 Y75" xr:uid="{66B449FB-2E3F-EA40-AD9B-E95D13D31A03}">
      <formula1>$B$103:$B$106</formula1>
    </dataValidation>
  </dataValidations>
  <pageMargins left="0.7" right="0.7" top="0.78740157499999996" bottom="0.78740157499999996" header="0.3" footer="0.3"/>
  <pageSetup paperSize="9" scale="34"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1D25-0F8B-9547-991C-126C589E439D}">
  <sheetPr>
    <pageSetUpPr fitToPage="1"/>
  </sheetPr>
  <dimension ref="A1:AA346"/>
  <sheetViews>
    <sheetView zoomScale="108" zoomScaleNormal="100" workbookViewId="0">
      <selection sqref="A1:AA1"/>
    </sheetView>
  </sheetViews>
  <sheetFormatPr baseColWidth="10" defaultRowHeight="15" outlineLevelRow="2" x14ac:dyDescent="0.2"/>
  <cols>
    <col min="1" max="1" width="12" style="1" customWidth="1"/>
    <col min="2" max="2" width="9.5" style="7" customWidth="1"/>
    <col min="3" max="3" width="3.1640625" style="6" customWidth="1"/>
    <col min="4" max="4" width="14.1640625" style="6" customWidth="1"/>
    <col min="5" max="5" width="8.83203125" style="6" customWidth="1"/>
    <col min="6" max="6" width="15.6640625" style="6" customWidth="1"/>
    <col min="7" max="7" width="10.6640625" style="6" customWidth="1"/>
    <col min="8" max="8" width="3.1640625" style="6" customWidth="1"/>
    <col min="9" max="9" width="12.33203125" style="6" customWidth="1"/>
    <col min="10" max="10" width="7.33203125" style="6" customWidth="1"/>
    <col min="11" max="11" width="8" style="6" customWidth="1"/>
    <col min="12" max="12" width="10.6640625" style="6" customWidth="1"/>
    <col min="13" max="13" width="3" style="6" customWidth="1"/>
    <col min="14" max="14" width="12.1640625" style="6" customWidth="1"/>
    <col min="15" max="15" width="7" style="6" customWidth="1"/>
    <col min="16" max="16" width="8.83203125" style="6" customWidth="1"/>
    <col min="17" max="17" width="10.6640625" style="6" customWidth="1"/>
    <col min="18" max="18" width="3" style="6" customWidth="1"/>
    <col min="19" max="19" width="12.6640625" style="6" customWidth="1"/>
    <col min="20" max="20" width="7.5" style="6" customWidth="1"/>
    <col min="21" max="21" width="8.1640625" style="6" customWidth="1"/>
    <col min="22" max="22" width="10.83203125" style="6" customWidth="1"/>
    <col min="23" max="23" width="3.1640625" style="6" customWidth="1"/>
    <col min="24" max="24" width="12" style="6" customWidth="1"/>
    <col min="25" max="25" width="7.33203125" style="6" customWidth="1"/>
    <col min="26" max="26" width="8.33203125" style="6" customWidth="1"/>
    <col min="27" max="27" width="10.5" style="6" customWidth="1"/>
    <col min="28" max="28" width="3.33203125" style="6" customWidth="1"/>
    <col min="29" max="16384" width="10.83203125" style="6"/>
  </cols>
  <sheetData>
    <row r="1" spans="1:27" ht="30" customHeight="1" x14ac:dyDescent="0.2">
      <c r="A1" s="32" t="s">
        <v>0</v>
      </c>
      <c r="B1" s="40" t="s">
        <v>68</v>
      </c>
      <c r="C1" s="32"/>
      <c r="D1" s="32"/>
      <c r="E1" s="32"/>
      <c r="F1" s="32"/>
      <c r="G1" s="32"/>
      <c r="H1" s="32"/>
      <c r="I1" s="60"/>
      <c r="J1" s="32"/>
      <c r="K1" s="32"/>
      <c r="L1" s="32"/>
      <c r="M1" s="32"/>
      <c r="N1" s="32"/>
      <c r="O1" s="32"/>
      <c r="P1" s="32"/>
      <c r="Q1" s="32"/>
      <c r="R1" s="32"/>
      <c r="S1" s="32"/>
      <c r="T1" s="32"/>
      <c r="U1" s="32"/>
      <c r="V1" s="32"/>
      <c r="W1" s="32"/>
      <c r="X1" s="32"/>
      <c r="Y1" s="32"/>
      <c r="Z1" s="76" t="s">
        <v>83</v>
      </c>
      <c r="AA1" s="76"/>
    </row>
    <row r="2" spans="1:27" ht="20" customHeight="1" x14ac:dyDescent="0.2">
      <c r="B2" s="2"/>
      <c r="C2" s="1"/>
      <c r="D2" s="1"/>
      <c r="E2" s="1"/>
      <c r="F2" s="1"/>
      <c r="G2" s="1"/>
      <c r="H2" s="1"/>
      <c r="I2" s="1"/>
      <c r="J2" s="1"/>
      <c r="K2" s="1"/>
      <c r="L2" s="1"/>
      <c r="M2" s="1"/>
    </row>
    <row r="3" spans="1:27" ht="16" x14ac:dyDescent="0.2">
      <c r="A3" s="1" t="s">
        <v>29</v>
      </c>
      <c r="B3" s="2">
        <v>57</v>
      </c>
      <c r="C3" s="1"/>
      <c r="D3" s="1"/>
      <c r="E3" s="1"/>
      <c r="F3" s="1"/>
      <c r="G3" s="1"/>
      <c r="H3" s="1"/>
      <c r="I3" s="1"/>
      <c r="J3" s="1"/>
      <c r="K3" s="1"/>
      <c r="L3" s="1"/>
      <c r="M3" s="1"/>
    </row>
    <row r="4" spans="1:27" ht="18" customHeight="1" outlineLevel="1" x14ac:dyDescent="0.2">
      <c r="I4" s="20" t="s">
        <v>77</v>
      </c>
      <c r="J4" s="20">
        <v>1</v>
      </c>
      <c r="K4" s="20" t="s">
        <v>12</v>
      </c>
      <c r="L4" s="20" t="s">
        <v>15</v>
      </c>
      <c r="M4" s="33"/>
      <c r="N4" s="20" t="s">
        <v>77</v>
      </c>
      <c r="O4" s="20">
        <v>2</v>
      </c>
      <c r="P4" s="20" t="s">
        <v>12</v>
      </c>
      <c r="Q4" s="20" t="s">
        <v>15</v>
      </c>
      <c r="R4" s="21"/>
      <c r="S4" s="20" t="s">
        <v>77</v>
      </c>
      <c r="T4" s="20">
        <v>3</v>
      </c>
      <c r="U4" s="20" t="s">
        <v>12</v>
      </c>
      <c r="V4" s="20" t="s">
        <v>14</v>
      </c>
      <c r="W4" s="21"/>
      <c r="X4" s="20" t="s">
        <v>77</v>
      </c>
      <c r="Y4" s="20">
        <v>4</v>
      </c>
      <c r="Z4" s="20" t="s">
        <v>12</v>
      </c>
      <c r="AA4" s="42" t="s">
        <v>14</v>
      </c>
    </row>
    <row r="5" spans="1:27" outlineLevel="1" x14ac:dyDescent="0.2">
      <c r="I5" s="19" t="s">
        <v>11</v>
      </c>
      <c r="J5" s="35" t="s">
        <v>5</v>
      </c>
      <c r="K5" s="19"/>
      <c r="L5" s="19"/>
      <c r="M5" s="33"/>
      <c r="N5" s="19" t="s">
        <v>11</v>
      </c>
      <c r="O5" s="35" t="s">
        <v>6</v>
      </c>
      <c r="P5" s="19"/>
      <c r="Q5" s="19"/>
      <c r="R5" s="21"/>
      <c r="S5" s="19" t="s">
        <v>11</v>
      </c>
      <c r="T5" s="35" t="s">
        <v>7</v>
      </c>
      <c r="U5" s="19"/>
      <c r="V5" s="19"/>
      <c r="W5" s="21"/>
      <c r="X5" s="19" t="s">
        <v>11</v>
      </c>
      <c r="Y5" s="35" t="s">
        <v>8</v>
      </c>
      <c r="Z5" s="19"/>
      <c r="AA5" s="43"/>
    </row>
    <row r="6" spans="1:27" ht="16" customHeight="1" outlineLevel="1" x14ac:dyDescent="0.2">
      <c r="D6" s="19"/>
      <c r="E6" s="19" t="s">
        <v>60</v>
      </c>
      <c r="F6" s="20" t="s">
        <v>61</v>
      </c>
      <c r="G6" s="19" t="s">
        <v>43</v>
      </c>
      <c r="H6" s="21"/>
      <c r="I6" s="20" t="s">
        <v>9</v>
      </c>
      <c r="J6" s="20" t="s">
        <v>66</v>
      </c>
      <c r="K6" s="20" t="s">
        <v>60</v>
      </c>
      <c r="L6" s="20" t="s">
        <v>62</v>
      </c>
      <c r="M6" s="33"/>
      <c r="N6" s="20" t="s">
        <v>9</v>
      </c>
      <c r="O6" s="20" t="s">
        <v>66</v>
      </c>
      <c r="P6" s="20" t="s">
        <v>60</v>
      </c>
      <c r="Q6" s="20" t="s">
        <v>62</v>
      </c>
      <c r="R6" s="21"/>
      <c r="S6" s="20" t="s">
        <v>9</v>
      </c>
      <c r="T6" s="20" t="s">
        <v>66</v>
      </c>
      <c r="U6" s="20" t="s">
        <v>60</v>
      </c>
      <c r="V6" s="20" t="s">
        <v>62</v>
      </c>
      <c r="W6" s="21"/>
      <c r="X6" s="20" t="s">
        <v>9</v>
      </c>
      <c r="Y6" s="20" t="s">
        <v>66</v>
      </c>
      <c r="Z6" s="20" t="s">
        <v>60</v>
      </c>
      <c r="AA6" s="42" t="s">
        <v>62</v>
      </c>
    </row>
    <row r="7" spans="1:27" outlineLevel="1" x14ac:dyDescent="0.2">
      <c r="D7" s="19" t="s">
        <v>16</v>
      </c>
      <c r="E7" s="19">
        <f>SUM(K15,P15,U15,Z15)</f>
        <v>20</v>
      </c>
      <c r="F7" s="19">
        <f>SUM(L15,Q15,V15,AA15)</f>
        <v>64</v>
      </c>
      <c r="G7" s="19">
        <f>SUM(E7:F7)</f>
        <v>84</v>
      </c>
      <c r="H7" s="21"/>
      <c r="I7" s="20">
        <v>1</v>
      </c>
      <c r="J7" s="20">
        <f>SUM(K7,L7)</f>
        <v>8</v>
      </c>
      <c r="K7" s="20">
        <v>0</v>
      </c>
      <c r="L7" s="20">
        <v>8</v>
      </c>
      <c r="M7" s="33"/>
      <c r="N7" s="20">
        <v>1</v>
      </c>
      <c r="O7" s="20">
        <f>SUM(P7,Q7)</f>
        <v>8</v>
      </c>
      <c r="P7" s="20">
        <v>0</v>
      </c>
      <c r="Q7" s="20">
        <v>8</v>
      </c>
      <c r="R7" s="21"/>
      <c r="S7" s="20">
        <v>1</v>
      </c>
      <c r="T7" s="20">
        <f>SUM(U7,V7)</f>
        <v>6</v>
      </c>
      <c r="U7" s="20">
        <v>0</v>
      </c>
      <c r="V7" s="20">
        <v>6</v>
      </c>
      <c r="W7" s="21"/>
      <c r="X7" s="20">
        <v>1</v>
      </c>
      <c r="Y7" s="20">
        <f>SUM(Z7,AA7)</f>
        <v>4</v>
      </c>
      <c r="Z7" s="20">
        <v>1</v>
      </c>
      <c r="AA7" s="42">
        <v>3</v>
      </c>
    </row>
    <row r="8" spans="1:27" outlineLevel="1" x14ac:dyDescent="0.2">
      <c r="D8" s="19" t="s">
        <v>17</v>
      </c>
      <c r="E8" s="19">
        <v>24</v>
      </c>
      <c r="F8" s="19">
        <v>52</v>
      </c>
      <c r="G8" s="19">
        <f>SUM(E8:F8)</f>
        <v>76</v>
      </c>
      <c r="H8" s="21"/>
      <c r="I8" s="19">
        <v>2</v>
      </c>
      <c r="J8" s="20">
        <f t="shared" ref="J8:J14" si="0">SUM(K8,L8)</f>
        <v>9</v>
      </c>
      <c r="K8" s="19">
        <v>8</v>
      </c>
      <c r="L8" s="19">
        <v>1</v>
      </c>
      <c r="M8" s="33"/>
      <c r="N8" s="19">
        <v>2</v>
      </c>
      <c r="O8" s="20">
        <f t="shared" ref="O8:O14" si="1">SUM(P8,Q8)</f>
        <v>8</v>
      </c>
      <c r="P8" s="19">
        <v>4</v>
      </c>
      <c r="Q8" s="19">
        <v>4</v>
      </c>
      <c r="R8" s="21"/>
      <c r="S8" s="19">
        <v>2</v>
      </c>
      <c r="T8" s="20">
        <f t="shared" ref="T8:T14" si="2">SUM(U8,V8)</f>
        <v>7</v>
      </c>
      <c r="U8" s="19">
        <v>0</v>
      </c>
      <c r="V8" s="19">
        <v>7</v>
      </c>
      <c r="W8" s="21"/>
      <c r="X8" s="19">
        <v>2</v>
      </c>
      <c r="Y8" s="20">
        <f t="shared" ref="Y8:Y14" si="3">SUM(Z8,AA8)</f>
        <v>4</v>
      </c>
      <c r="Z8" s="19">
        <v>0</v>
      </c>
      <c r="AA8" s="43">
        <v>4</v>
      </c>
    </row>
    <row r="9" spans="1:27" outlineLevel="1" x14ac:dyDescent="0.2">
      <c r="D9" s="19" t="s">
        <v>40</v>
      </c>
      <c r="E9" s="22">
        <f>MIN(E7,E8)/MAX(E7,E8)</f>
        <v>0.83333333333333337</v>
      </c>
      <c r="F9" s="22">
        <f>MIN(F7,F8)/MAX(F7,F8)</f>
        <v>0.8125</v>
      </c>
      <c r="G9" s="22">
        <f>MIN(G7,G8)/MAX(G7,G8)</f>
        <v>0.90476190476190477</v>
      </c>
      <c r="H9" s="21"/>
      <c r="I9" s="19">
        <v>3</v>
      </c>
      <c r="J9" s="20">
        <f t="shared" si="0"/>
        <v>9</v>
      </c>
      <c r="K9" s="19">
        <v>5</v>
      </c>
      <c r="L9" s="19">
        <v>4</v>
      </c>
      <c r="M9" s="33"/>
      <c r="N9" s="19">
        <v>3</v>
      </c>
      <c r="O9" s="20">
        <f t="shared" si="1"/>
        <v>8</v>
      </c>
      <c r="P9" s="19">
        <v>2</v>
      </c>
      <c r="Q9" s="19">
        <v>6</v>
      </c>
      <c r="R9" s="21"/>
      <c r="S9" s="19">
        <v>3</v>
      </c>
      <c r="T9" s="20">
        <f t="shared" si="2"/>
        <v>7</v>
      </c>
      <c r="U9" s="19">
        <v>0</v>
      </c>
      <c r="V9" s="19">
        <v>7</v>
      </c>
      <c r="W9" s="21"/>
      <c r="X9" s="19">
        <v>3</v>
      </c>
      <c r="Y9" s="20">
        <f t="shared" si="3"/>
        <v>4</v>
      </c>
      <c r="Z9" s="19">
        <v>0</v>
      </c>
      <c r="AA9" s="43">
        <v>4</v>
      </c>
    </row>
    <row r="10" spans="1:27" outlineLevel="1" x14ac:dyDescent="0.2">
      <c r="D10" s="38"/>
      <c r="E10" s="38"/>
      <c r="F10" s="38"/>
      <c r="G10" s="38"/>
      <c r="I10" s="20">
        <v>4</v>
      </c>
      <c r="J10" s="20">
        <f t="shared" si="0"/>
        <v>0</v>
      </c>
      <c r="K10" s="19">
        <v>0</v>
      </c>
      <c r="L10" s="19">
        <v>0</v>
      </c>
      <c r="M10" s="33"/>
      <c r="N10" s="20">
        <v>4</v>
      </c>
      <c r="O10" s="20">
        <f t="shared" si="1"/>
        <v>0</v>
      </c>
      <c r="P10" s="19">
        <v>0</v>
      </c>
      <c r="Q10" s="19">
        <v>0</v>
      </c>
      <c r="R10" s="21"/>
      <c r="S10" s="20">
        <v>4</v>
      </c>
      <c r="T10" s="20">
        <f t="shared" si="2"/>
        <v>0</v>
      </c>
      <c r="U10" s="19">
        <v>0</v>
      </c>
      <c r="V10" s="19">
        <v>0</v>
      </c>
      <c r="W10" s="21"/>
      <c r="X10" s="20">
        <v>4</v>
      </c>
      <c r="Y10" s="20">
        <f t="shared" si="3"/>
        <v>0</v>
      </c>
      <c r="Z10" s="19">
        <v>0</v>
      </c>
      <c r="AA10" s="43">
        <v>0</v>
      </c>
    </row>
    <row r="11" spans="1:27" ht="15" customHeight="1" outlineLevel="1" x14ac:dyDescent="0.2">
      <c r="D11" s="19" t="s">
        <v>0</v>
      </c>
      <c r="E11" s="20" t="s">
        <v>63</v>
      </c>
      <c r="F11" s="20" t="s">
        <v>64</v>
      </c>
      <c r="G11" s="19" t="s">
        <v>37</v>
      </c>
      <c r="H11" s="21"/>
      <c r="I11" s="20">
        <v>5</v>
      </c>
      <c r="J11" s="20">
        <f t="shared" si="0"/>
        <v>0</v>
      </c>
      <c r="K11" s="19">
        <v>0</v>
      </c>
      <c r="L11" s="19">
        <v>0</v>
      </c>
      <c r="M11" s="33"/>
      <c r="N11" s="20">
        <v>5</v>
      </c>
      <c r="O11" s="20">
        <f t="shared" si="1"/>
        <v>0</v>
      </c>
      <c r="P11" s="19">
        <v>0</v>
      </c>
      <c r="Q11" s="19">
        <v>0</v>
      </c>
      <c r="R11" s="21"/>
      <c r="S11" s="20">
        <v>5</v>
      </c>
      <c r="T11" s="20">
        <f t="shared" si="2"/>
        <v>0</v>
      </c>
      <c r="U11" s="19">
        <v>0</v>
      </c>
      <c r="V11" s="19">
        <v>0</v>
      </c>
      <c r="W11" s="21"/>
      <c r="X11" s="20">
        <v>5</v>
      </c>
      <c r="Y11" s="20">
        <f t="shared" si="3"/>
        <v>0</v>
      </c>
      <c r="Z11" s="19">
        <v>0</v>
      </c>
      <c r="AA11" s="43">
        <v>0</v>
      </c>
    </row>
    <row r="12" spans="1:27" outlineLevel="1" x14ac:dyDescent="0.2">
      <c r="D12" s="19" t="s">
        <v>16</v>
      </c>
      <c r="E12" s="19">
        <f>SUM(P15,K15)</f>
        <v>19</v>
      </c>
      <c r="F12" s="19">
        <f>SUM(Q15,L15)</f>
        <v>31</v>
      </c>
      <c r="G12" s="19">
        <f>SUM(E12:F12)</f>
        <v>50</v>
      </c>
      <c r="H12" s="21"/>
      <c r="I12" s="20">
        <v>6</v>
      </c>
      <c r="J12" s="20">
        <f t="shared" si="0"/>
        <v>0</v>
      </c>
      <c r="K12" s="19">
        <v>0</v>
      </c>
      <c r="L12" s="19">
        <v>0</v>
      </c>
      <c r="M12" s="33"/>
      <c r="N12" s="20">
        <v>6</v>
      </c>
      <c r="O12" s="20">
        <f t="shared" si="1"/>
        <v>0</v>
      </c>
      <c r="P12" s="19">
        <v>0</v>
      </c>
      <c r="Q12" s="19">
        <v>0</v>
      </c>
      <c r="R12" s="21"/>
      <c r="S12" s="20">
        <v>6</v>
      </c>
      <c r="T12" s="20">
        <f t="shared" si="2"/>
        <v>0</v>
      </c>
      <c r="U12" s="19">
        <v>0</v>
      </c>
      <c r="V12" s="19">
        <v>0</v>
      </c>
      <c r="W12" s="21"/>
      <c r="X12" s="20">
        <v>6</v>
      </c>
      <c r="Y12" s="20">
        <f t="shared" si="3"/>
        <v>0</v>
      </c>
      <c r="Z12" s="19">
        <v>0</v>
      </c>
      <c r="AA12" s="43">
        <v>0</v>
      </c>
    </row>
    <row r="13" spans="1:27" outlineLevel="1" x14ac:dyDescent="0.2">
      <c r="D13" s="19" t="s">
        <v>17</v>
      </c>
      <c r="E13" s="19">
        <v>16</v>
      </c>
      <c r="F13" s="19">
        <v>35</v>
      </c>
      <c r="G13" s="19">
        <f>SUM(E13:F13)</f>
        <v>51</v>
      </c>
      <c r="H13" s="21"/>
      <c r="I13" s="20">
        <v>7</v>
      </c>
      <c r="J13" s="20">
        <f t="shared" si="0"/>
        <v>0</v>
      </c>
      <c r="K13" s="19">
        <v>0</v>
      </c>
      <c r="L13" s="19">
        <v>0</v>
      </c>
      <c r="M13" s="33"/>
      <c r="N13" s="20">
        <v>7</v>
      </c>
      <c r="O13" s="20">
        <f t="shared" si="1"/>
        <v>0</v>
      </c>
      <c r="P13" s="19">
        <v>0</v>
      </c>
      <c r="Q13" s="19">
        <v>0</v>
      </c>
      <c r="R13" s="21"/>
      <c r="S13" s="20">
        <v>7</v>
      </c>
      <c r="T13" s="20">
        <f t="shared" si="2"/>
        <v>0</v>
      </c>
      <c r="U13" s="19">
        <v>0</v>
      </c>
      <c r="V13" s="19">
        <v>0</v>
      </c>
      <c r="W13" s="21"/>
      <c r="X13" s="20">
        <v>7</v>
      </c>
      <c r="Y13" s="20">
        <f t="shared" si="3"/>
        <v>0</v>
      </c>
      <c r="Z13" s="19">
        <v>0</v>
      </c>
      <c r="AA13" s="43">
        <v>0</v>
      </c>
    </row>
    <row r="14" spans="1:27" outlineLevel="1" x14ac:dyDescent="0.2">
      <c r="D14" s="19" t="s">
        <v>40</v>
      </c>
      <c r="E14" s="22">
        <f>MIN(E12,E13)/MAX(E12,E13)</f>
        <v>0.84210526315789469</v>
      </c>
      <c r="F14" s="22">
        <f>MIN(F12,F13)/MAX(F12,F13)</f>
        <v>0.88571428571428568</v>
      </c>
      <c r="G14" s="22">
        <f>MIN(G12,G13)/MAX(G12,G13)</f>
        <v>0.98039215686274506</v>
      </c>
      <c r="H14" s="21"/>
      <c r="I14" s="19" t="s">
        <v>10</v>
      </c>
      <c r="J14" s="20">
        <f t="shared" si="0"/>
        <v>0</v>
      </c>
      <c r="K14" s="19">
        <v>0</v>
      </c>
      <c r="L14" s="19">
        <v>0</v>
      </c>
      <c r="M14" s="33"/>
      <c r="N14" s="19" t="s">
        <v>10</v>
      </c>
      <c r="O14" s="20">
        <f t="shared" si="1"/>
        <v>0</v>
      </c>
      <c r="P14" s="19">
        <v>0</v>
      </c>
      <c r="Q14" s="19">
        <v>0</v>
      </c>
      <c r="R14" s="21"/>
      <c r="S14" s="19" t="s">
        <v>10</v>
      </c>
      <c r="T14" s="20">
        <f t="shared" si="2"/>
        <v>2</v>
      </c>
      <c r="U14" s="19">
        <v>0</v>
      </c>
      <c r="V14" s="19">
        <v>2</v>
      </c>
      <c r="W14" s="21"/>
      <c r="X14" s="19" t="s">
        <v>10</v>
      </c>
      <c r="Y14" s="20">
        <f t="shared" si="3"/>
        <v>0</v>
      </c>
      <c r="Z14" s="19">
        <v>0</v>
      </c>
      <c r="AA14" s="43">
        <v>0</v>
      </c>
    </row>
    <row r="15" spans="1:27" outlineLevel="1" x14ac:dyDescent="0.2">
      <c r="D15" s="38"/>
      <c r="E15" s="38"/>
      <c r="F15" s="38"/>
      <c r="G15" s="38"/>
      <c r="I15" s="19" t="s">
        <v>13</v>
      </c>
      <c r="J15" s="19">
        <f>(SUM(J7:J14))</f>
        <v>26</v>
      </c>
      <c r="K15" s="19">
        <f>(SUM(K7:K14))</f>
        <v>13</v>
      </c>
      <c r="L15" s="19">
        <f>(SUM(L7:L14))</f>
        <v>13</v>
      </c>
      <c r="M15" s="33"/>
      <c r="N15" s="19" t="s">
        <v>13</v>
      </c>
      <c r="O15" s="19">
        <f>(SUM(O7:O14))</f>
        <v>24</v>
      </c>
      <c r="P15" s="19">
        <f>(SUM(P7:P14))</f>
        <v>6</v>
      </c>
      <c r="Q15" s="19">
        <f>(SUM(Q7:Q14))</f>
        <v>18</v>
      </c>
      <c r="R15" s="21"/>
      <c r="S15" s="19" t="s">
        <v>13</v>
      </c>
      <c r="T15" s="19">
        <f>(SUM(T7:T14))</f>
        <v>22</v>
      </c>
      <c r="U15" s="19">
        <f>(SUM(U7:U14))</f>
        <v>0</v>
      </c>
      <c r="V15" s="19">
        <f>(SUM(V7:V14))</f>
        <v>22</v>
      </c>
      <c r="W15" s="21"/>
      <c r="X15" s="19" t="s">
        <v>13</v>
      </c>
      <c r="Y15" s="19">
        <f>(SUM(Y7:Y14))</f>
        <v>12</v>
      </c>
      <c r="Z15" s="19">
        <f>(SUM(Z7:Z14))</f>
        <v>1</v>
      </c>
      <c r="AA15" s="43">
        <f>(SUM(AA7:AA14))</f>
        <v>11</v>
      </c>
    </row>
    <row r="16" spans="1:27" outlineLevel="1" x14ac:dyDescent="0.2">
      <c r="I16" s="38"/>
      <c r="J16" s="38"/>
      <c r="K16" s="38"/>
      <c r="L16" s="38"/>
      <c r="M16" s="1"/>
      <c r="N16" s="38"/>
      <c r="O16" s="38"/>
      <c r="P16" s="38"/>
      <c r="Q16" s="38"/>
      <c r="S16" s="38"/>
      <c r="T16" s="38"/>
      <c r="U16" s="38"/>
      <c r="V16" s="38"/>
      <c r="X16" s="38"/>
      <c r="Y16" s="38"/>
      <c r="Z16" s="38"/>
      <c r="AA16" s="38"/>
    </row>
    <row r="17" spans="2:27" x14ac:dyDescent="0.2">
      <c r="B17" s="2"/>
      <c r="C17" s="1"/>
      <c r="D17" s="1"/>
      <c r="E17" s="1"/>
      <c r="F17" s="1"/>
      <c r="G17" s="1"/>
      <c r="H17" s="1"/>
      <c r="I17" s="1"/>
      <c r="J17" s="1"/>
      <c r="K17" s="1"/>
      <c r="L17" s="1"/>
      <c r="M17" s="1"/>
    </row>
    <row r="18" spans="2:27" ht="16" x14ac:dyDescent="0.2">
      <c r="B18" s="2">
        <v>59</v>
      </c>
      <c r="C18" s="1"/>
      <c r="I18" s="20" t="s">
        <v>77</v>
      </c>
      <c r="J18" s="20">
        <v>1</v>
      </c>
      <c r="K18" s="20" t="s">
        <v>12</v>
      </c>
      <c r="L18" s="20" t="s">
        <v>15</v>
      </c>
      <c r="M18" s="33"/>
      <c r="N18" s="20" t="s">
        <v>77</v>
      </c>
      <c r="O18" s="20">
        <v>2</v>
      </c>
      <c r="P18" s="20" t="s">
        <v>12</v>
      </c>
      <c r="Q18" s="20" t="s">
        <v>14</v>
      </c>
      <c r="R18" s="21"/>
      <c r="S18" s="20" t="s">
        <v>77</v>
      </c>
      <c r="T18" s="20">
        <v>3</v>
      </c>
      <c r="U18" s="20" t="s">
        <v>12</v>
      </c>
      <c r="V18" s="20" t="s">
        <v>14</v>
      </c>
      <c r="W18" s="21"/>
      <c r="X18" s="1"/>
      <c r="Y18" s="1"/>
      <c r="Z18" s="1"/>
      <c r="AA18" s="1"/>
    </row>
    <row r="19" spans="2:27" outlineLevel="1" x14ac:dyDescent="0.2">
      <c r="B19" s="2"/>
      <c r="C19" s="1"/>
      <c r="I19" s="19" t="s">
        <v>11</v>
      </c>
      <c r="J19" s="35" t="s">
        <v>6</v>
      </c>
      <c r="K19" s="19"/>
      <c r="L19" s="19"/>
      <c r="M19" s="33"/>
      <c r="N19" s="19" t="s">
        <v>11</v>
      </c>
      <c r="O19" s="35" t="s">
        <v>8</v>
      </c>
      <c r="P19" s="19"/>
      <c r="Q19" s="19"/>
      <c r="R19" s="21"/>
      <c r="S19" s="19" t="s">
        <v>11</v>
      </c>
      <c r="T19" s="35" t="s">
        <v>6</v>
      </c>
      <c r="U19" s="19"/>
      <c r="V19" s="19"/>
      <c r="W19" s="21"/>
    </row>
    <row r="20" spans="2:27" ht="16" customHeight="1" outlineLevel="1" x14ac:dyDescent="0.2">
      <c r="B20" s="2"/>
      <c r="C20" s="1"/>
      <c r="D20" s="19"/>
      <c r="E20" s="19" t="s">
        <v>60</v>
      </c>
      <c r="F20" s="20" t="s">
        <v>61</v>
      </c>
      <c r="G20" s="19" t="s">
        <v>43</v>
      </c>
      <c r="H20" s="21"/>
      <c r="I20" s="20" t="s">
        <v>9</v>
      </c>
      <c r="J20" s="20" t="s">
        <v>66</v>
      </c>
      <c r="K20" s="20" t="s">
        <v>60</v>
      </c>
      <c r="L20" s="20" t="s">
        <v>62</v>
      </c>
      <c r="M20" s="33"/>
      <c r="N20" s="20" t="s">
        <v>9</v>
      </c>
      <c r="O20" s="20" t="s">
        <v>66</v>
      </c>
      <c r="P20" s="20" t="s">
        <v>60</v>
      </c>
      <c r="Q20" s="20" t="s">
        <v>62</v>
      </c>
      <c r="R20" s="21"/>
      <c r="S20" s="20" t="s">
        <v>9</v>
      </c>
      <c r="T20" s="20" t="s">
        <v>66</v>
      </c>
      <c r="U20" s="20" t="s">
        <v>60</v>
      </c>
      <c r="V20" s="20" t="s">
        <v>62</v>
      </c>
      <c r="W20" s="21"/>
      <c r="X20" s="1"/>
      <c r="Y20" s="1"/>
      <c r="Z20" s="1"/>
      <c r="AA20" s="1"/>
    </row>
    <row r="21" spans="2:27" outlineLevel="1" x14ac:dyDescent="0.2">
      <c r="B21" s="2"/>
      <c r="C21" s="1"/>
      <c r="D21" s="19" t="s">
        <v>16</v>
      </c>
      <c r="E21" s="19">
        <f>SUM(K29,P29,U29,Z29)</f>
        <v>0</v>
      </c>
      <c r="F21" s="19">
        <f>SUM(L29,Q29,V29,AA29)</f>
        <v>81</v>
      </c>
      <c r="G21" s="19">
        <f>SUM(E21:F21)</f>
        <v>81</v>
      </c>
      <c r="H21" s="21"/>
      <c r="I21" s="20">
        <v>1</v>
      </c>
      <c r="J21" s="20">
        <f>SUM(K21,L21)</f>
        <v>6</v>
      </c>
      <c r="K21" s="20">
        <v>0</v>
      </c>
      <c r="L21" s="20">
        <v>6</v>
      </c>
      <c r="M21" s="33"/>
      <c r="N21" s="20">
        <v>1</v>
      </c>
      <c r="O21" s="20">
        <f>SUM(P21,Q21)</f>
        <v>5</v>
      </c>
      <c r="P21" s="20">
        <v>0</v>
      </c>
      <c r="Q21" s="20">
        <v>5</v>
      </c>
      <c r="R21" s="21"/>
      <c r="S21" s="20">
        <v>1</v>
      </c>
      <c r="T21" s="20">
        <f>SUM(U21,V21)</f>
        <v>4</v>
      </c>
      <c r="U21" s="20">
        <v>0</v>
      </c>
      <c r="V21" s="20">
        <v>4</v>
      </c>
      <c r="W21" s="21"/>
      <c r="X21" s="1"/>
      <c r="Y21" s="1"/>
      <c r="Z21" s="1"/>
      <c r="AA21" s="1"/>
    </row>
    <row r="22" spans="2:27" outlineLevel="1" x14ac:dyDescent="0.2">
      <c r="B22" s="79" t="s">
        <v>67</v>
      </c>
      <c r="C22" s="33"/>
      <c r="D22" s="19" t="s">
        <v>17</v>
      </c>
      <c r="E22" s="19"/>
      <c r="F22" s="19">
        <v>135</v>
      </c>
      <c r="G22" s="19">
        <f>SUM(E22:F22)</f>
        <v>135</v>
      </c>
      <c r="H22" s="21"/>
      <c r="I22" s="19">
        <v>2</v>
      </c>
      <c r="J22" s="20">
        <f t="shared" ref="J22:J28" si="4">SUM(K22,L22)</f>
        <v>8</v>
      </c>
      <c r="K22" s="19">
        <v>0</v>
      </c>
      <c r="L22" s="19">
        <v>8</v>
      </c>
      <c r="M22" s="33"/>
      <c r="N22" s="19">
        <v>2</v>
      </c>
      <c r="O22" s="20">
        <f t="shared" ref="O22:O28" si="5">SUM(P22,Q22)</f>
        <v>8</v>
      </c>
      <c r="P22" s="19">
        <v>0</v>
      </c>
      <c r="Q22" s="19">
        <v>8</v>
      </c>
      <c r="R22" s="21"/>
      <c r="S22" s="19">
        <v>2</v>
      </c>
      <c r="T22" s="20">
        <f t="shared" ref="T22:T28" si="6">SUM(U22,V22)</f>
        <v>0</v>
      </c>
      <c r="U22" s="19">
        <v>0</v>
      </c>
      <c r="V22" s="19">
        <v>0</v>
      </c>
      <c r="W22" s="21"/>
      <c r="Y22" s="1"/>
    </row>
    <row r="23" spans="2:27" outlineLevel="1" x14ac:dyDescent="0.2">
      <c r="B23" s="79"/>
      <c r="C23" s="33"/>
      <c r="D23" s="19" t="s">
        <v>40</v>
      </c>
      <c r="E23" s="19"/>
      <c r="F23" s="22">
        <f>MIN(F21,F22)/MAX(F21,F22)</f>
        <v>0.6</v>
      </c>
      <c r="G23" s="22">
        <f>MIN(G21,G22)/MAX(G21,G22)</f>
        <v>0.6</v>
      </c>
      <c r="H23" s="21"/>
      <c r="I23" s="19">
        <v>3</v>
      </c>
      <c r="J23" s="20">
        <f t="shared" si="4"/>
        <v>8</v>
      </c>
      <c r="K23" s="19">
        <v>0</v>
      </c>
      <c r="L23" s="19">
        <v>8</v>
      </c>
      <c r="M23" s="33"/>
      <c r="N23" s="19">
        <v>3</v>
      </c>
      <c r="O23" s="20">
        <f t="shared" si="5"/>
        <v>8</v>
      </c>
      <c r="P23" s="19">
        <v>0</v>
      </c>
      <c r="Q23" s="19">
        <v>8</v>
      </c>
      <c r="R23" s="21"/>
      <c r="S23" s="19">
        <v>3</v>
      </c>
      <c r="T23" s="20">
        <f t="shared" si="6"/>
        <v>0</v>
      </c>
      <c r="U23" s="19">
        <v>0</v>
      </c>
      <c r="V23" s="19">
        <v>0</v>
      </c>
      <c r="W23" s="21"/>
      <c r="Y23" s="1"/>
    </row>
    <row r="24" spans="2:27" outlineLevel="1" x14ac:dyDescent="0.2">
      <c r="B24" s="41"/>
      <c r="C24" s="1"/>
      <c r="D24" s="38"/>
      <c r="E24" s="38"/>
      <c r="F24" s="38"/>
      <c r="G24" s="38"/>
      <c r="I24" s="20">
        <v>4</v>
      </c>
      <c r="J24" s="20">
        <f t="shared" si="4"/>
        <v>8</v>
      </c>
      <c r="K24" s="19">
        <v>0</v>
      </c>
      <c r="L24" s="19">
        <v>8</v>
      </c>
      <c r="M24" s="33"/>
      <c r="N24" s="20">
        <v>4</v>
      </c>
      <c r="O24" s="20">
        <f t="shared" si="5"/>
        <v>9</v>
      </c>
      <c r="P24" s="19">
        <v>0</v>
      </c>
      <c r="Q24" s="19">
        <v>9</v>
      </c>
      <c r="R24" s="21"/>
      <c r="S24" s="20">
        <v>4</v>
      </c>
      <c r="T24" s="20">
        <f t="shared" si="6"/>
        <v>0</v>
      </c>
      <c r="U24" s="19">
        <v>0</v>
      </c>
      <c r="V24" s="19">
        <v>0</v>
      </c>
      <c r="W24" s="21"/>
      <c r="X24" s="1"/>
      <c r="Y24" s="1"/>
    </row>
    <row r="25" spans="2:27" ht="15" customHeight="1" outlineLevel="1" x14ac:dyDescent="0.2">
      <c r="B25" s="2"/>
      <c r="C25" s="1"/>
      <c r="D25" s="19" t="s">
        <v>0</v>
      </c>
      <c r="E25" s="20" t="s">
        <v>63</v>
      </c>
      <c r="F25" s="20" t="s">
        <v>64</v>
      </c>
      <c r="G25" s="19" t="s">
        <v>37</v>
      </c>
      <c r="H25" s="21"/>
      <c r="I25" s="20">
        <v>5</v>
      </c>
      <c r="J25" s="20">
        <f t="shared" si="4"/>
        <v>0</v>
      </c>
      <c r="K25" s="19">
        <v>0</v>
      </c>
      <c r="L25" s="19">
        <v>0</v>
      </c>
      <c r="M25" s="33"/>
      <c r="N25" s="20">
        <v>5</v>
      </c>
      <c r="O25" s="20">
        <f t="shared" si="5"/>
        <v>7</v>
      </c>
      <c r="P25" s="19">
        <v>0</v>
      </c>
      <c r="Q25" s="19">
        <v>7</v>
      </c>
      <c r="R25" s="21"/>
      <c r="S25" s="20">
        <v>5</v>
      </c>
      <c r="T25" s="20">
        <f t="shared" si="6"/>
        <v>0</v>
      </c>
      <c r="U25" s="19">
        <v>0</v>
      </c>
      <c r="V25" s="19">
        <v>0</v>
      </c>
      <c r="W25" s="21"/>
      <c r="X25" s="1"/>
      <c r="Y25" s="1"/>
    </row>
    <row r="26" spans="2:27" outlineLevel="1" x14ac:dyDescent="0.2">
      <c r="B26" s="2"/>
      <c r="C26" s="1"/>
      <c r="D26" s="19" t="s">
        <v>16</v>
      </c>
      <c r="E26" s="19">
        <f>SUM(K29)</f>
        <v>0</v>
      </c>
      <c r="F26" s="19">
        <f>SUM(L29)</f>
        <v>40</v>
      </c>
      <c r="G26" s="19">
        <f>SUM(E26:F26)</f>
        <v>40</v>
      </c>
      <c r="H26" s="21"/>
      <c r="I26" s="20">
        <v>6</v>
      </c>
      <c r="J26" s="20">
        <f t="shared" si="4"/>
        <v>0</v>
      </c>
      <c r="K26" s="19">
        <v>0</v>
      </c>
      <c r="L26" s="19">
        <v>0</v>
      </c>
      <c r="M26" s="33"/>
      <c r="N26" s="20">
        <v>6</v>
      </c>
      <c r="O26" s="20">
        <f t="shared" si="5"/>
        <v>0</v>
      </c>
      <c r="P26" s="19">
        <v>0</v>
      </c>
      <c r="Q26" s="19">
        <v>0</v>
      </c>
      <c r="R26" s="21"/>
      <c r="S26" s="20">
        <v>6</v>
      </c>
      <c r="T26" s="20">
        <f t="shared" si="6"/>
        <v>0</v>
      </c>
      <c r="U26" s="19">
        <v>0</v>
      </c>
      <c r="V26" s="19">
        <v>0</v>
      </c>
      <c r="W26" s="21"/>
      <c r="X26" s="1"/>
      <c r="Y26" s="1"/>
    </row>
    <row r="27" spans="2:27" outlineLevel="1" x14ac:dyDescent="0.2">
      <c r="B27" s="2"/>
      <c r="C27" s="1"/>
      <c r="D27" s="19" t="s">
        <v>17</v>
      </c>
      <c r="E27" s="19">
        <v>0</v>
      </c>
      <c r="F27" s="19">
        <v>43</v>
      </c>
      <c r="G27" s="19">
        <f>SUM(E27:F27)</f>
        <v>43</v>
      </c>
      <c r="H27" s="21"/>
      <c r="I27" s="20">
        <v>7</v>
      </c>
      <c r="J27" s="20">
        <f t="shared" si="4"/>
        <v>0</v>
      </c>
      <c r="K27" s="19">
        <v>0</v>
      </c>
      <c r="L27" s="19">
        <v>0</v>
      </c>
      <c r="M27" s="33"/>
      <c r="N27" s="20">
        <v>7</v>
      </c>
      <c r="O27" s="20">
        <f t="shared" si="5"/>
        <v>0</v>
      </c>
      <c r="P27" s="19">
        <v>0</v>
      </c>
      <c r="Q27" s="19">
        <v>0</v>
      </c>
      <c r="R27" s="21"/>
      <c r="S27" s="20">
        <v>7</v>
      </c>
      <c r="T27" s="20">
        <f t="shared" si="6"/>
        <v>0</v>
      </c>
      <c r="U27" s="19">
        <v>0</v>
      </c>
      <c r="V27" s="19">
        <v>0</v>
      </c>
      <c r="W27" s="21"/>
      <c r="X27" s="1"/>
      <c r="Y27" s="1"/>
    </row>
    <row r="28" spans="2:27" outlineLevel="1" x14ac:dyDescent="0.2">
      <c r="B28" s="2"/>
      <c r="C28" s="1"/>
      <c r="D28" s="19" t="s">
        <v>40</v>
      </c>
      <c r="E28" s="22"/>
      <c r="F28" s="22">
        <f>MIN(F26,F27)/MAX(F26,F27)</f>
        <v>0.93023255813953487</v>
      </c>
      <c r="G28" s="22">
        <f>MIN(G26,G27)/MAX(G26,G27)</f>
        <v>0.93023255813953487</v>
      </c>
      <c r="H28" s="21"/>
      <c r="I28" s="19" t="s">
        <v>10</v>
      </c>
      <c r="J28" s="20">
        <f t="shared" si="4"/>
        <v>10</v>
      </c>
      <c r="K28" s="19">
        <v>0</v>
      </c>
      <c r="L28" s="19">
        <v>10</v>
      </c>
      <c r="M28" s="33"/>
      <c r="N28" s="19" t="s">
        <v>10</v>
      </c>
      <c r="O28" s="20">
        <f t="shared" si="5"/>
        <v>0</v>
      </c>
      <c r="P28" s="19">
        <v>0</v>
      </c>
      <c r="Q28" s="19">
        <v>0</v>
      </c>
      <c r="R28" s="21"/>
      <c r="S28" s="19" t="s">
        <v>10</v>
      </c>
      <c r="T28" s="20">
        <f t="shared" si="6"/>
        <v>0</v>
      </c>
      <c r="U28" s="19">
        <v>0</v>
      </c>
      <c r="V28" s="19">
        <v>0</v>
      </c>
      <c r="W28" s="21"/>
      <c r="Y28" s="1"/>
    </row>
    <row r="29" spans="2:27" outlineLevel="1" x14ac:dyDescent="0.2">
      <c r="B29" s="2"/>
      <c r="C29" s="1"/>
      <c r="D29" s="38"/>
      <c r="E29" s="38"/>
      <c r="F29" s="38"/>
      <c r="G29" s="38"/>
      <c r="I29" s="19" t="s">
        <v>13</v>
      </c>
      <c r="J29" s="19">
        <f>(SUM(J21:J28))</f>
        <v>40</v>
      </c>
      <c r="K29" s="19">
        <f>(SUM(K21:K28))</f>
        <v>0</v>
      </c>
      <c r="L29" s="19">
        <f>(SUM(L21:L28))</f>
        <v>40</v>
      </c>
      <c r="M29" s="33"/>
      <c r="N29" s="19" t="s">
        <v>13</v>
      </c>
      <c r="O29" s="19">
        <f>(SUM(O21:O28))</f>
        <v>37</v>
      </c>
      <c r="P29" s="19">
        <f>(SUM(P21:P28))</f>
        <v>0</v>
      </c>
      <c r="Q29" s="19">
        <f>(SUM(Q21:Q28))</f>
        <v>37</v>
      </c>
      <c r="R29" s="21"/>
      <c r="S29" s="19" t="s">
        <v>13</v>
      </c>
      <c r="T29" s="19">
        <f>(SUM(T21:T28))</f>
        <v>4</v>
      </c>
      <c r="U29" s="19">
        <f>(SUM(U21:U28))</f>
        <v>0</v>
      </c>
      <c r="V29" s="19">
        <f>(SUM(V21:V28))</f>
        <v>4</v>
      </c>
      <c r="W29" s="21"/>
    </row>
    <row r="30" spans="2:27" outlineLevel="1" x14ac:dyDescent="0.2">
      <c r="B30" s="2"/>
      <c r="C30" s="1"/>
      <c r="I30" s="38"/>
      <c r="J30" s="38"/>
      <c r="K30" s="38"/>
      <c r="L30" s="38"/>
      <c r="M30" s="1"/>
      <c r="N30" s="38"/>
      <c r="O30" s="38"/>
      <c r="P30" s="38"/>
      <c r="Q30" s="38"/>
      <c r="S30" s="38"/>
      <c r="T30" s="38"/>
      <c r="U30" s="38"/>
      <c r="V30" s="38"/>
    </row>
    <row r="31" spans="2:27" ht="15" customHeight="1" x14ac:dyDescent="0.2">
      <c r="B31" s="2"/>
      <c r="C31" s="1"/>
      <c r="D31" s="1"/>
      <c r="E31" s="1"/>
      <c r="F31" s="1"/>
      <c r="G31" s="1"/>
      <c r="H31" s="1"/>
      <c r="I31" s="1"/>
      <c r="J31" s="1"/>
      <c r="K31" s="1"/>
      <c r="L31" s="1"/>
      <c r="M31" s="1"/>
    </row>
    <row r="32" spans="2:27" ht="16" outlineLevel="1" x14ac:dyDescent="0.2">
      <c r="B32" s="2">
        <v>61</v>
      </c>
      <c r="C32" s="1"/>
      <c r="I32" s="20" t="s">
        <v>77</v>
      </c>
      <c r="J32" s="20">
        <v>1</v>
      </c>
      <c r="K32" s="20" t="s">
        <v>12</v>
      </c>
      <c r="L32" s="20" t="s">
        <v>15</v>
      </c>
      <c r="M32" s="33"/>
      <c r="N32" s="20" t="s">
        <v>77</v>
      </c>
      <c r="O32" s="20">
        <v>2</v>
      </c>
      <c r="P32" s="20" t="s">
        <v>12</v>
      </c>
      <c r="Q32" s="20" t="s">
        <v>14</v>
      </c>
      <c r="R32" s="21"/>
      <c r="S32" s="1"/>
      <c r="T32" s="1"/>
      <c r="U32" s="1"/>
      <c r="V32" s="1"/>
      <c r="X32" s="1"/>
      <c r="Y32" s="1"/>
      <c r="Z32" s="1"/>
      <c r="AA32" s="1"/>
    </row>
    <row r="33" spans="1:27" outlineLevel="1" x14ac:dyDescent="0.2">
      <c r="B33" s="2"/>
      <c r="C33" s="1"/>
      <c r="I33" s="19" t="s">
        <v>11</v>
      </c>
      <c r="J33" s="35" t="s">
        <v>6</v>
      </c>
      <c r="K33" s="19"/>
      <c r="L33" s="19"/>
      <c r="M33" s="33"/>
      <c r="N33" s="19" t="s">
        <v>11</v>
      </c>
      <c r="O33" s="35" t="s">
        <v>8</v>
      </c>
      <c r="P33" s="19"/>
      <c r="Q33" s="19"/>
      <c r="R33" s="21"/>
    </row>
    <row r="34" spans="1:27" ht="18" customHeight="1" outlineLevel="1" x14ac:dyDescent="0.2">
      <c r="B34" s="2"/>
      <c r="C34" s="1"/>
      <c r="D34" s="19"/>
      <c r="E34" s="19" t="s">
        <v>60</v>
      </c>
      <c r="F34" s="20" t="s">
        <v>61</v>
      </c>
      <c r="G34" s="19" t="s">
        <v>43</v>
      </c>
      <c r="H34" s="21"/>
      <c r="I34" s="20" t="s">
        <v>9</v>
      </c>
      <c r="J34" s="20" t="s">
        <v>66</v>
      </c>
      <c r="K34" s="20" t="s">
        <v>60</v>
      </c>
      <c r="L34" s="20" t="s">
        <v>62</v>
      </c>
      <c r="M34" s="33"/>
      <c r="N34" s="20" t="s">
        <v>9</v>
      </c>
      <c r="O34" s="20" t="s">
        <v>66</v>
      </c>
      <c r="P34" s="20" t="s">
        <v>60</v>
      </c>
      <c r="Q34" s="20" t="s">
        <v>62</v>
      </c>
      <c r="R34" s="21"/>
      <c r="S34" s="1"/>
      <c r="T34" s="1"/>
      <c r="U34" s="1"/>
      <c r="V34" s="1"/>
      <c r="X34" s="1"/>
      <c r="Y34" s="1"/>
      <c r="Z34" s="1"/>
      <c r="AA34" s="1"/>
    </row>
    <row r="35" spans="1:27" outlineLevel="1" x14ac:dyDescent="0.2">
      <c r="B35" s="2"/>
      <c r="C35" s="1"/>
      <c r="D35" s="19" t="s">
        <v>16</v>
      </c>
      <c r="E35" s="19">
        <f>SUM(K43,P43,U43,Z43)</f>
        <v>0</v>
      </c>
      <c r="F35" s="19">
        <f>SUM(L43,Q43,V43,AA43)</f>
        <v>24</v>
      </c>
      <c r="G35" s="19">
        <f>SUM(E35:F35)</f>
        <v>24</v>
      </c>
      <c r="H35" s="21"/>
      <c r="I35" s="20">
        <v>1</v>
      </c>
      <c r="J35" s="20">
        <f>SUM(K35,L35)</f>
        <v>5</v>
      </c>
      <c r="K35" s="20">
        <v>0</v>
      </c>
      <c r="L35" s="20">
        <v>5</v>
      </c>
      <c r="M35" s="33"/>
      <c r="N35" s="20">
        <v>1</v>
      </c>
      <c r="O35" s="20">
        <f>SUM(P35,Q35)</f>
        <v>0</v>
      </c>
      <c r="P35" s="20">
        <v>0</v>
      </c>
      <c r="Q35" s="20">
        <v>0</v>
      </c>
      <c r="R35" s="21"/>
      <c r="S35" s="1"/>
      <c r="T35" s="1"/>
      <c r="U35" s="1"/>
      <c r="V35" s="1"/>
      <c r="X35" s="1"/>
      <c r="Y35" s="1"/>
      <c r="Z35" s="1"/>
      <c r="AA35" s="1"/>
    </row>
    <row r="36" spans="1:27" outlineLevel="1" x14ac:dyDescent="0.2">
      <c r="B36" s="2"/>
      <c r="C36" s="1"/>
      <c r="D36" s="19" t="s">
        <v>17</v>
      </c>
      <c r="E36" s="19"/>
      <c r="F36" s="19">
        <v>36</v>
      </c>
      <c r="G36" s="19">
        <f>SUM(E36:F36)</f>
        <v>36</v>
      </c>
      <c r="H36" s="21"/>
      <c r="I36" s="19">
        <v>2</v>
      </c>
      <c r="J36" s="20">
        <f t="shared" ref="J36:J42" si="7">SUM(K36,L36)</f>
        <v>8</v>
      </c>
      <c r="K36" s="19">
        <v>0</v>
      </c>
      <c r="L36" s="19">
        <v>8</v>
      </c>
      <c r="M36" s="33"/>
      <c r="N36" s="19">
        <v>2</v>
      </c>
      <c r="O36" s="20">
        <f t="shared" ref="O36:O42" si="8">SUM(P36,Q36)</f>
        <v>0</v>
      </c>
      <c r="P36" s="19">
        <v>0</v>
      </c>
      <c r="Q36" s="19">
        <v>0</v>
      </c>
      <c r="R36" s="21"/>
      <c r="T36" s="1"/>
      <c r="Y36" s="1"/>
    </row>
    <row r="37" spans="1:27" outlineLevel="1" x14ac:dyDescent="0.2">
      <c r="B37" s="2"/>
      <c r="C37" s="1"/>
      <c r="D37" s="19" t="s">
        <v>40</v>
      </c>
      <c r="E37" s="19"/>
      <c r="F37" s="22">
        <f>MIN(F35,F36)/MAX(F35,F36)</f>
        <v>0.66666666666666663</v>
      </c>
      <c r="G37" s="22">
        <f>MIN(G35,G36)/MAX(G35,G36)</f>
        <v>0.66666666666666663</v>
      </c>
      <c r="H37" s="21"/>
      <c r="I37" s="19">
        <v>3</v>
      </c>
      <c r="J37" s="20">
        <f t="shared" si="7"/>
        <v>0</v>
      </c>
      <c r="K37" s="19">
        <v>0</v>
      </c>
      <c r="L37" s="19">
        <v>0</v>
      </c>
      <c r="M37" s="33"/>
      <c r="N37" s="19">
        <v>3</v>
      </c>
      <c r="O37" s="20">
        <f t="shared" si="8"/>
        <v>0</v>
      </c>
      <c r="P37" s="19">
        <v>0</v>
      </c>
      <c r="Q37" s="19">
        <v>0</v>
      </c>
      <c r="R37" s="21"/>
      <c r="T37" s="1"/>
      <c r="Y37" s="1"/>
    </row>
    <row r="38" spans="1:27" outlineLevel="1" x14ac:dyDescent="0.2">
      <c r="B38" s="2"/>
      <c r="C38" s="1"/>
      <c r="D38" s="38"/>
      <c r="E38" s="38"/>
      <c r="F38" s="38"/>
      <c r="G38" s="38"/>
      <c r="I38" s="20">
        <v>4</v>
      </c>
      <c r="J38" s="20">
        <f t="shared" si="7"/>
        <v>0</v>
      </c>
      <c r="K38" s="19">
        <v>0</v>
      </c>
      <c r="L38" s="19">
        <v>0</v>
      </c>
      <c r="M38" s="33"/>
      <c r="N38" s="20">
        <v>4</v>
      </c>
      <c r="O38" s="20">
        <f t="shared" si="8"/>
        <v>0</v>
      </c>
      <c r="P38" s="19">
        <v>0</v>
      </c>
      <c r="Q38" s="19">
        <v>0</v>
      </c>
      <c r="R38" s="21"/>
      <c r="S38" s="1"/>
      <c r="T38" s="1"/>
      <c r="X38" s="1"/>
      <c r="Y38" s="1"/>
    </row>
    <row r="39" spans="1:27" ht="16" customHeight="1" outlineLevel="1" x14ac:dyDescent="0.2">
      <c r="B39" s="2"/>
      <c r="C39" s="1"/>
      <c r="D39" s="19" t="s">
        <v>0</v>
      </c>
      <c r="E39" s="20" t="s">
        <v>63</v>
      </c>
      <c r="F39" s="20" t="s">
        <v>64</v>
      </c>
      <c r="G39" s="19" t="s">
        <v>37</v>
      </c>
      <c r="H39" s="21"/>
      <c r="I39" s="20">
        <v>5</v>
      </c>
      <c r="J39" s="20">
        <f t="shared" si="7"/>
        <v>0</v>
      </c>
      <c r="K39" s="19">
        <v>0</v>
      </c>
      <c r="L39" s="19">
        <v>0</v>
      </c>
      <c r="M39" s="33"/>
      <c r="N39" s="20">
        <v>5</v>
      </c>
      <c r="O39" s="20">
        <f t="shared" si="8"/>
        <v>0</v>
      </c>
      <c r="P39" s="19">
        <v>0</v>
      </c>
      <c r="Q39" s="19">
        <v>0</v>
      </c>
      <c r="R39" s="21"/>
      <c r="S39" s="1"/>
      <c r="T39" s="1"/>
      <c r="X39" s="1"/>
      <c r="Y39" s="1"/>
    </row>
    <row r="40" spans="1:27" outlineLevel="1" x14ac:dyDescent="0.2">
      <c r="B40" s="2"/>
      <c r="C40" s="1"/>
      <c r="D40" s="19" t="s">
        <v>16</v>
      </c>
      <c r="E40" s="19">
        <f>SUM(P43,K43)</f>
        <v>0</v>
      </c>
      <c r="F40" s="19">
        <f>SUM(,L43)</f>
        <v>20</v>
      </c>
      <c r="G40" s="19">
        <f>SUM(E40:F40)</f>
        <v>20</v>
      </c>
      <c r="H40" s="21"/>
      <c r="I40" s="20">
        <v>6</v>
      </c>
      <c r="J40" s="20">
        <f t="shared" si="7"/>
        <v>0</v>
      </c>
      <c r="K40" s="19">
        <v>0</v>
      </c>
      <c r="L40" s="19">
        <v>0</v>
      </c>
      <c r="M40" s="33"/>
      <c r="N40" s="20">
        <v>6</v>
      </c>
      <c r="O40" s="20">
        <f t="shared" si="8"/>
        <v>0</v>
      </c>
      <c r="P40" s="19">
        <v>0</v>
      </c>
      <c r="Q40" s="19">
        <v>0</v>
      </c>
      <c r="R40" s="21"/>
      <c r="S40" s="1"/>
      <c r="T40" s="1"/>
      <c r="X40" s="1"/>
      <c r="Y40" s="1"/>
    </row>
    <row r="41" spans="1:27" outlineLevel="1" x14ac:dyDescent="0.2">
      <c r="B41" s="79" t="s">
        <v>71</v>
      </c>
      <c r="C41" s="33"/>
      <c r="D41" s="19" t="s">
        <v>17</v>
      </c>
      <c r="E41" s="19">
        <v>0</v>
      </c>
      <c r="F41" s="19">
        <v>11</v>
      </c>
      <c r="G41" s="19">
        <f>SUM(E41:F41)</f>
        <v>11</v>
      </c>
      <c r="H41" s="21"/>
      <c r="I41" s="20">
        <v>7</v>
      </c>
      <c r="J41" s="20">
        <f t="shared" si="7"/>
        <v>0</v>
      </c>
      <c r="K41" s="19">
        <v>0</v>
      </c>
      <c r="L41" s="19">
        <v>0</v>
      </c>
      <c r="M41" s="33"/>
      <c r="N41" s="20">
        <v>7</v>
      </c>
      <c r="O41" s="20">
        <f t="shared" si="8"/>
        <v>0</v>
      </c>
      <c r="P41" s="19">
        <v>0</v>
      </c>
      <c r="Q41" s="19">
        <v>0</v>
      </c>
      <c r="R41" s="21"/>
      <c r="S41" s="1"/>
      <c r="T41" s="1"/>
      <c r="X41" s="1"/>
      <c r="Y41" s="1"/>
    </row>
    <row r="42" spans="1:27" outlineLevel="1" x14ac:dyDescent="0.2">
      <c r="B42" s="79"/>
      <c r="C42" s="33"/>
      <c r="D42" s="19" t="s">
        <v>40</v>
      </c>
      <c r="E42" s="22"/>
      <c r="F42" s="22">
        <f>MIN(F40,F41)/MAX(F40,F41)</f>
        <v>0.55000000000000004</v>
      </c>
      <c r="G42" s="22">
        <f>MIN(G40,G41)/MAX(G40,G41)</f>
        <v>0.55000000000000004</v>
      </c>
      <c r="H42" s="21"/>
      <c r="I42" s="19" t="s">
        <v>10</v>
      </c>
      <c r="J42" s="20">
        <f t="shared" si="7"/>
        <v>7</v>
      </c>
      <c r="K42" s="19">
        <v>0</v>
      </c>
      <c r="L42" s="19">
        <v>7</v>
      </c>
      <c r="M42" s="33"/>
      <c r="N42" s="19" t="s">
        <v>10</v>
      </c>
      <c r="O42" s="20">
        <f t="shared" si="8"/>
        <v>4</v>
      </c>
      <c r="P42" s="19">
        <v>0</v>
      </c>
      <c r="Q42" s="19">
        <v>4</v>
      </c>
      <c r="R42" s="21"/>
      <c r="T42" s="1"/>
      <c r="Y42" s="1"/>
    </row>
    <row r="43" spans="1:27" outlineLevel="1" x14ac:dyDescent="0.2">
      <c r="B43" s="41"/>
      <c r="C43" s="1"/>
      <c r="D43" s="38"/>
      <c r="E43" s="38"/>
      <c r="F43" s="38"/>
      <c r="G43" s="38"/>
      <c r="I43" s="19" t="s">
        <v>13</v>
      </c>
      <c r="J43" s="19">
        <f>(SUM(J35:J42))</f>
        <v>20</v>
      </c>
      <c r="K43" s="19">
        <f>(SUM(K35:K42))</f>
        <v>0</v>
      </c>
      <c r="L43" s="19">
        <f>(SUM(L35:L42))</f>
        <v>20</v>
      </c>
      <c r="M43" s="33"/>
      <c r="N43" s="19" t="s">
        <v>13</v>
      </c>
      <c r="O43" s="19">
        <f>(SUM(O35:O42))</f>
        <v>4</v>
      </c>
      <c r="P43" s="19">
        <f>(SUM(P35:P42))</f>
        <v>0</v>
      </c>
      <c r="Q43" s="19">
        <f>(SUM(Q35:Q42))</f>
        <v>4</v>
      </c>
      <c r="R43" s="21"/>
    </row>
    <row r="44" spans="1:27" outlineLevel="1" x14ac:dyDescent="0.2">
      <c r="B44" s="2"/>
      <c r="C44" s="1"/>
      <c r="I44" s="38"/>
      <c r="J44" s="38"/>
      <c r="K44" s="38"/>
      <c r="L44" s="38"/>
      <c r="M44" s="1"/>
      <c r="N44" s="38"/>
      <c r="O44" s="38"/>
      <c r="P44" s="38"/>
      <c r="Q44" s="38"/>
    </row>
    <row r="45" spans="1:27" x14ac:dyDescent="0.2">
      <c r="B45" s="2"/>
      <c r="C45" s="1"/>
      <c r="D45" s="1"/>
      <c r="E45" s="1"/>
      <c r="F45" s="1"/>
      <c r="G45" s="1"/>
      <c r="H45" s="1"/>
      <c r="I45" s="1"/>
      <c r="J45" s="1"/>
      <c r="K45" s="1"/>
      <c r="L45" s="1"/>
      <c r="M45" s="1"/>
    </row>
    <row r="46" spans="1:27" ht="19" customHeight="1" outlineLevel="1" x14ac:dyDescent="0.2">
      <c r="A46" s="1" t="s">
        <v>21</v>
      </c>
      <c r="B46" s="2">
        <v>38</v>
      </c>
      <c r="C46" s="1"/>
      <c r="I46" s="20" t="s">
        <v>77</v>
      </c>
      <c r="J46" s="20">
        <v>1</v>
      </c>
      <c r="K46" s="20" t="s">
        <v>12</v>
      </c>
      <c r="L46" s="20" t="s">
        <v>15</v>
      </c>
      <c r="M46" s="33"/>
      <c r="N46" s="20" t="s">
        <v>77</v>
      </c>
      <c r="O46" s="20">
        <v>2</v>
      </c>
      <c r="P46" s="20" t="s">
        <v>12</v>
      </c>
      <c r="Q46" s="20" t="s">
        <v>15</v>
      </c>
      <c r="R46" s="21"/>
      <c r="S46" s="20" t="s">
        <v>77</v>
      </c>
      <c r="T46" s="20">
        <v>3</v>
      </c>
      <c r="U46" s="20" t="s">
        <v>12</v>
      </c>
      <c r="V46" s="20" t="s">
        <v>14</v>
      </c>
      <c r="W46" s="21"/>
      <c r="X46" s="20" t="s">
        <v>77</v>
      </c>
      <c r="Y46" s="20">
        <v>4</v>
      </c>
      <c r="Z46" s="20" t="s">
        <v>12</v>
      </c>
      <c r="AA46" s="42" t="s">
        <v>14</v>
      </c>
    </row>
    <row r="47" spans="1:27" outlineLevel="1" x14ac:dyDescent="0.2">
      <c r="B47" s="2"/>
      <c r="C47" s="1"/>
      <c r="I47" s="19" t="s">
        <v>11</v>
      </c>
      <c r="J47" s="35" t="s">
        <v>6</v>
      </c>
      <c r="K47" s="19"/>
      <c r="L47" s="19"/>
      <c r="M47" s="33"/>
      <c r="N47" s="19" t="s">
        <v>11</v>
      </c>
      <c r="O47" s="35" t="s">
        <v>7</v>
      </c>
      <c r="P47" s="19"/>
      <c r="Q47" s="19"/>
      <c r="R47" s="21"/>
      <c r="S47" s="19" t="s">
        <v>11</v>
      </c>
      <c r="T47" s="35" t="s">
        <v>5</v>
      </c>
      <c r="U47" s="19"/>
      <c r="V47" s="19"/>
      <c r="W47" s="21"/>
      <c r="X47" s="19" t="s">
        <v>11</v>
      </c>
      <c r="Y47" s="35" t="s">
        <v>8</v>
      </c>
      <c r="Z47" s="19"/>
      <c r="AA47" s="43"/>
    </row>
    <row r="48" spans="1:27" ht="18" customHeight="1" outlineLevel="1" x14ac:dyDescent="0.2">
      <c r="B48" s="2"/>
      <c r="C48" s="1"/>
      <c r="D48" s="19"/>
      <c r="E48" s="19" t="s">
        <v>60</v>
      </c>
      <c r="F48" s="20" t="s">
        <v>61</v>
      </c>
      <c r="G48" s="19" t="s">
        <v>43</v>
      </c>
      <c r="H48" s="21"/>
      <c r="I48" s="20" t="s">
        <v>9</v>
      </c>
      <c r="J48" s="20" t="s">
        <v>66</v>
      </c>
      <c r="K48" s="20" t="s">
        <v>60</v>
      </c>
      <c r="L48" s="20" t="s">
        <v>62</v>
      </c>
      <c r="M48" s="33"/>
      <c r="N48" s="20" t="s">
        <v>9</v>
      </c>
      <c r="O48" s="20" t="s">
        <v>66</v>
      </c>
      <c r="P48" s="20" t="s">
        <v>60</v>
      </c>
      <c r="Q48" s="20" t="s">
        <v>62</v>
      </c>
      <c r="R48" s="21"/>
      <c r="S48" s="20" t="s">
        <v>9</v>
      </c>
      <c r="T48" s="20" t="s">
        <v>66</v>
      </c>
      <c r="U48" s="20" t="s">
        <v>60</v>
      </c>
      <c r="V48" s="20" t="s">
        <v>62</v>
      </c>
      <c r="W48" s="21"/>
      <c r="X48" s="20" t="s">
        <v>9</v>
      </c>
      <c r="Y48" s="20" t="s">
        <v>66</v>
      </c>
      <c r="Z48" s="20" t="s">
        <v>60</v>
      </c>
      <c r="AA48" s="42" t="s">
        <v>62</v>
      </c>
    </row>
    <row r="49" spans="2:27" outlineLevel="1" x14ac:dyDescent="0.2">
      <c r="B49" s="2"/>
      <c r="C49" s="1"/>
      <c r="D49" s="19" t="s">
        <v>16</v>
      </c>
      <c r="E49" s="19">
        <f>SUM(K57,P57,U57,Z57)</f>
        <v>0</v>
      </c>
      <c r="F49" s="19">
        <f>SUM(L57,Q57,V57,AA57)</f>
        <v>95</v>
      </c>
      <c r="G49" s="19">
        <f>SUM(E49:F49)</f>
        <v>95</v>
      </c>
      <c r="H49" s="21"/>
      <c r="I49" s="20">
        <v>1</v>
      </c>
      <c r="J49" s="20">
        <f>SUM(K49,L49)</f>
        <v>13</v>
      </c>
      <c r="K49" s="20">
        <v>0</v>
      </c>
      <c r="L49" s="20">
        <v>13</v>
      </c>
      <c r="M49" s="33"/>
      <c r="N49" s="20">
        <v>1</v>
      </c>
      <c r="O49" s="20">
        <f>SUM(P49,Q49)</f>
        <v>7</v>
      </c>
      <c r="P49" s="20">
        <v>0</v>
      </c>
      <c r="Q49" s="20">
        <v>7</v>
      </c>
      <c r="R49" s="21"/>
      <c r="S49" s="20">
        <v>1</v>
      </c>
      <c r="T49" s="20">
        <f>SUM(U49,V49)</f>
        <v>4</v>
      </c>
      <c r="U49" s="20">
        <v>0</v>
      </c>
      <c r="V49" s="20">
        <v>4</v>
      </c>
      <c r="W49" s="21"/>
      <c r="X49" s="20">
        <v>1</v>
      </c>
      <c r="Y49" s="20">
        <f>SUM(Z49,AA49)</f>
        <v>3</v>
      </c>
      <c r="Z49" s="20">
        <v>0</v>
      </c>
      <c r="AA49" s="42">
        <v>3</v>
      </c>
    </row>
    <row r="50" spans="2:27" outlineLevel="1" x14ac:dyDescent="0.2">
      <c r="B50" s="2"/>
      <c r="C50" s="1"/>
      <c r="D50" s="19" t="s">
        <v>17</v>
      </c>
      <c r="E50" s="19"/>
      <c r="F50" s="19">
        <v>65</v>
      </c>
      <c r="G50" s="19">
        <f>SUM(E50:F50)</f>
        <v>65</v>
      </c>
      <c r="H50" s="21"/>
      <c r="I50" s="19">
        <v>2</v>
      </c>
      <c r="J50" s="20">
        <f t="shared" ref="J50:J56" si="9">SUM(K50,L50)</f>
        <v>7</v>
      </c>
      <c r="K50" s="19">
        <v>0</v>
      </c>
      <c r="L50" s="19">
        <v>7</v>
      </c>
      <c r="M50" s="33"/>
      <c r="N50" s="19">
        <v>2</v>
      </c>
      <c r="O50" s="20">
        <f t="shared" ref="O50:O56" si="10">SUM(P50,Q50)</f>
        <v>9</v>
      </c>
      <c r="P50" s="19">
        <v>0</v>
      </c>
      <c r="Q50" s="19">
        <v>9</v>
      </c>
      <c r="R50" s="21"/>
      <c r="S50" s="19">
        <v>2</v>
      </c>
      <c r="T50" s="20">
        <f t="shared" ref="T50:T56" si="11">SUM(U50,V50)</f>
        <v>5</v>
      </c>
      <c r="U50" s="19">
        <v>0</v>
      </c>
      <c r="V50" s="19">
        <v>5</v>
      </c>
      <c r="W50" s="21"/>
      <c r="X50" s="19">
        <v>2</v>
      </c>
      <c r="Y50" s="20">
        <f t="shared" ref="Y50:Y56" si="12">SUM(Z50,AA50)</f>
        <v>4</v>
      </c>
      <c r="Z50" s="19">
        <v>0</v>
      </c>
      <c r="AA50" s="43">
        <v>4</v>
      </c>
    </row>
    <row r="51" spans="2:27" outlineLevel="1" x14ac:dyDescent="0.2">
      <c r="B51" s="2"/>
      <c r="C51" s="1"/>
      <c r="D51" s="19" t="s">
        <v>40</v>
      </c>
      <c r="E51" s="19"/>
      <c r="F51" s="22">
        <f>MIN(F49,F50)/MAX(F49,F50)</f>
        <v>0.68421052631578949</v>
      </c>
      <c r="G51" s="22">
        <f>MIN(G49,G50)/MAX(G49,G50)</f>
        <v>0.68421052631578949</v>
      </c>
      <c r="H51" s="21"/>
      <c r="I51" s="19">
        <v>3</v>
      </c>
      <c r="J51" s="20">
        <f t="shared" si="9"/>
        <v>7</v>
      </c>
      <c r="K51" s="19">
        <v>0</v>
      </c>
      <c r="L51" s="19">
        <v>7</v>
      </c>
      <c r="M51" s="33"/>
      <c r="N51" s="19">
        <v>3</v>
      </c>
      <c r="O51" s="20">
        <f t="shared" si="10"/>
        <v>9</v>
      </c>
      <c r="P51" s="19">
        <v>0</v>
      </c>
      <c r="Q51" s="19">
        <v>9</v>
      </c>
      <c r="R51" s="21"/>
      <c r="S51" s="19">
        <v>3</v>
      </c>
      <c r="T51" s="20">
        <f t="shared" si="11"/>
        <v>5</v>
      </c>
      <c r="U51" s="19">
        <v>0</v>
      </c>
      <c r="V51" s="19">
        <v>5</v>
      </c>
      <c r="W51" s="21"/>
      <c r="X51" s="19">
        <v>3</v>
      </c>
      <c r="Y51" s="20">
        <f t="shared" si="12"/>
        <v>4</v>
      </c>
      <c r="Z51" s="19">
        <v>0</v>
      </c>
      <c r="AA51" s="43">
        <v>4</v>
      </c>
    </row>
    <row r="52" spans="2:27" outlineLevel="1" x14ac:dyDescent="0.2">
      <c r="B52" s="2"/>
      <c r="C52" s="1"/>
      <c r="D52" s="38"/>
      <c r="E52" s="38"/>
      <c r="F52" s="38"/>
      <c r="G52" s="38"/>
      <c r="I52" s="20">
        <v>4</v>
      </c>
      <c r="J52" s="20">
        <f t="shared" si="9"/>
        <v>0</v>
      </c>
      <c r="K52" s="19">
        <v>0</v>
      </c>
      <c r="L52" s="19">
        <v>0</v>
      </c>
      <c r="M52" s="33"/>
      <c r="N52" s="20">
        <v>4</v>
      </c>
      <c r="O52" s="20">
        <f t="shared" si="10"/>
        <v>0</v>
      </c>
      <c r="P52" s="19">
        <v>0</v>
      </c>
      <c r="Q52" s="19">
        <v>0</v>
      </c>
      <c r="R52" s="21"/>
      <c r="S52" s="20">
        <v>4</v>
      </c>
      <c r="T52" s="20">
        <f t="shared" si="11"/>
        <v>0</v>
      </c>
      <c r="U52" s="19">
        <v>0</v>
      </c>
      <c r="V52" s="19">
        <v>0</v>
      </c>
      <c r="W52" s="21"/>
      <c r="X52" s="20">
        <v>4</v>
      </c>
      <c r="Y52" s="20">
        <f t="shared" si="12"/>
        <v>0</v>
      </c>
      <c r="Z52" s="19">
        <v>0</v>
      </c>
      <c r="AA52" s="43">
        <v>0</v>
      </c>
    </row>
    <row r="53" spans="2:27" ht="15" customHeight="1" outlineLevel="1" x14ac:dyDescent="0.2">
      <c r="B53" s="2"/>
      <c r="C53" s="1"/>
      <c r="D53" s="19" t="s">
        <v>0</v>
      </c>
      <c r="E53" s="20" t="s">
        <v>63</v>
      </c>
      <c r="F53" s="20" t="s">
        <v>64</v>
      </c>
      <c r="G53" s="19" t="s">
        <v>37</v>
      </c>
      <c r="H53" s="21"/>
      <c r="I53" s="20">
        <v>5</v>
      </c>
      <c r="J53" s="20">
        <f t="shared" si="9"/>
        <v>0</v>
      </c>
      <c r="K53" s="19">
        <v>0</v>
      </c>
      <c r="L53" s="19">
        <v>0</v>
      </c>
      <c r="M53" s="33"/>
      <c r="N53" s="20">
        <v>5</v>
      </c>
      <c r="O53" s="20">
        <f t="shared" si="10"/>
        <v>0</v>
      </c>
      <c r="P53" s="19">
        <v>0</v>
      </c>
      <c r="Q53" s="19">
        <v>0</v>
      </c>
      <c r="R53" s="21"/>
      <c r="S53" s="20">
        <v>5</v>
      </c>
      <c r="T53" s="20">
        <f t="shared" si="11"/>
        <v>0</v>
      </c>
      <c r="U53" s="19">
        <v>0</v>
      </c>
      <c r="V53" s="19">
        <v>0</v>
      </c>
      <c r="W53" s="21"/>
      <c r="X53" s="20">
        <v>5</v>
      </c>
      <c r="Y53" s="20">
        <f t="shared" si="12"/>
        <v>0</v>
      </c>
      <c r="Z53" s="19">
        <v>0</v>
      </c>
      <c r="AA53" s="43">
        <v>0</v>
      </c>
    </row>
    <row r="54" spans="2:27" outlineLevel="1" x14ac:dyDescent="0.2">
      <c r="B54" s="2"/>
      <c r="C54" s="1"/>
      <c r="D54" s="19" t="s">
        <v>16</v>
      </c>
      <c r="E54" s="19">
        <f>SUM(P57,K57)</f>
        <v>0</v>
      </c>
      <c r="F54" s="19">
        <f>SUM(Q57,L57)</f>
        <v>66</v>
      </c>
      <c r="G54" s="19">
        <f>SUM(E54:F54)</f>
        <v>66</v>
      </c>
      <c r="H54" s="21"/>
      <c r="I54" s="20">
        <v>6</v>
      </c>
      <c r="J54" s="20">
        <f t="shared" si="9"/>
        <v>0</v>
      </c>
      <c r="K54" s="19">
        <v>0</v>
      </c>
      <c r="L54" s="19">
        <v>0</v>
      </c>
      <c r="M54" s="33"/>
      <c r="N54" s="20">
        <v>6</v>
      </c>
      <c r="O54" s="20">
        <f t="shared" si="10"/>
        <v>0</v>
      </c>
      <c r="P54" s="19">
        <v>0</v>
      </c>
      <c r="Q54" s="19">
        <v>0</v>
      </c>
      <c r="R54" s="21"/>
      <c r="S54" s="20">
        <v>6</v>
      </c>
      <c r="T54" s="20">
        <f t="shared" si="11"/>
        <v>0</v>
      </c>
      <c r="U54" s="19">
        <v>0</v>
      </c>
      <c r="V54" s="19">
        <v>0</v>
      </c>
      <c r="W54" s="21"/>
      <c r="X54" s="20">
        <v>6</v>
      </c>
      <c r="Y54" s="20">
        <f t="shared" si="12"/>
        <v>0</v>
      </c>
      <c r="Z54" s="19">
        <v>0</v>
      </c>
      <c r="AA54" s="43">
        <v>0</v>
      </c>
    </row>
    <row r="55" spans="2:27" outlineLevel="1" x14ac:dyDescent="0.2">
      <c r="B55" s="2"/>
      <c r="C55" s="1"/>
      <c r="D55" s="19" t="s">
        <v>17</v>
      </c>
      <c r="E55" s="19">
        <v>0</v>
      </c>
      <c r="F55" s="19">
        <v>42</v>
      </c>
      <c r="G55" s="19">
        <f>SUM(E55:F55)</f>
        <v>42</v>
      </c>
      <c r="H55" s="21"/>
      <c r="I55" s="20">
        <v>7</v>
      </c>
      <c r="J55" s="20">
        <f t="shared" si="9"/>
        <v>0</v>
      </c>
      <c r="K55" s="19">
        <v>0</v>
      </c>
      <c r="L55" s="19">
        <v>0</v>
      </c>
      <c r="M55" s="33"/>
      <c r="N55" s="20">
        <v>7</v>
      </c>
      <c r="O55" s="20">
        <f t="shared" si="10"/>
        <v>0</v>
      </c>
      <c r="P55" s="19">
        <v>0</v>
      </c>
      <c r="Q55" s="19">
        <v>0</v>
      </c>
      <c r="R55" s="21"/>
      <c r="S55" s="20">
        <v>7</v>
      </c>
      <c r="T55" s="20">
        <f t="shared" si="11"/>
        <v>0</v>
      </c>
      <c r="U55" s="19">
        <v>0</v>
      </c>
      <c r="V55" s="19">
        <v>0</v>
      </c>
      <c r="W55" s="21"/>
      <c r="X55" s="20">
        <v>7</v>
      </c>
      <c r="Y55" s="20">
        <f t="shared" si="12"/>
        <v>0</v>
      </c>
      <c r="Z55" s="19">
        <v>0</v>
      </c>
      <c r="AA55" s="43">
        <v>0</v>
      </c>
    </row>
    <row r="56" spans="2:27" outlineLevel="1" x14ac:dyDescent="0.2">
      <c r="B56" s="2"/>
      <c r="C56" s="1"/>
      <c r="D56" s="19" t="s">
        <v>40</v>
      </c>
      <c r="E56" s="22"/>
      <c r="F56" s="22">
        <f>MIN(F54,F55)/MAX(F54,F55)</f>
        <v>0.63636363636363635</v>
      </c>
      <c r="G56" s="22">
        <f>MIN(G54,G55)/MAX(G54,G55)</f>
        <v>0.63636363636363635</v>
      </c>
      <c r="H56" s="21"/>
      <c r="I56" s="19" t="s">
        <v>10</v>
      </c>
      <c r="J56" s="20">
        <f t="shared" si="9"/>
        <v>6</v>
      </c>
      <c r="K56" s="19">
        <v>0</v>
      </c>
      <c r="L56" s="19">
        <v>6</v>
      </c>
      <c r="M56" s="33"/>
      <c r="N56" s="19" t="s">
        <v>10</v>
      </c>
      <c r="O56" s="20">
        <f t="shared" si="10"/>
        <v>8</v>
      </c>
      <c r="P56" s="19">
        <v>0</v>
      </c>
      <c r="Q56" s="19">
        <v>8</v>
      </c>
      <c r="R56" s="21"/>
      <c r="S56" s="19" t="s">
        <v>10</v>
      </c>
      <c r="T56" s="20">
        <f t="shared" si="11"/>
        <v>2</v>
      </c>
      <c r="U56" s="19">
        <v>0</v>
      </c>
      <c r="V56" s="19">
        <v>2</v>
      </c>
      <c r="W56" s="21"/>
      <c r="X56" s="19" t="s">
        <v>10</v>
      </c>
      <c r="Y56" s="20">
        <f t="shared" si="12"/>
        <v>2</v>
      </c>
      <c r="Z56" s="19">
        <v>0</v>
      </c>
      <c r="AA56" s="43">
        <v>2</v>
      </c>
    </row>
    <row r="57" spans="2:27" ht="16" outlineLevel="1" x14ac:dyDescent="0.2">
      <c r="B57" s="36" t="s">
        <v>44</v>
      </c>
      <c r="C57" s="33"/>
      <c r="D57" s="38"/>
      <c r="E57" s="38"/>
      <c r="F57" s="38"/>
      <c r="G57" s="38"/>
      <c r="I57" s="19" t="s">
        <v>13</v>
      </c>
      <c r="J57" s="19">
        <f>(SUM(J49:J56))</f>
        <v>33</v>
      </c>
      <c r="K57" s="19">
        <f>(SUM(K49:K56))</f>
        <v>0</v>
      </c>
      <c r="L57" s="19">
        <f>(SUM(L49:L56))</f>
        <v>33</v>
      </c>
      <c r="M57" s="33"/>
      <c r="N57" s="19" t="s">
        <v>13</v>
      </c>
      <c r="O57" s="19">
        <f>(SUM(O49:O56))</f>
        <v>33</v>
      </c>
      <c r="P57" s="19">
        <f>(SUM(P49:P56))</f>
        <v>0</v>
      </c>
      <c r="Q57" s="19">
        <f>(SUM(Q49:Q56))</f>
        <v>33</v>
      </c>
      <c r="R57" s="21"/>
      <c r="S57" s="19" t="s">
        <v>13</v>
      </c>
      <c r="T57" s="19">
        <f>(SUM(T49:T56))</f>
        <v>16</v>
      </c>
      <c r="U57" s="19">
        <f>(SUM(U49:U56))</f>
        <v>0</v>
      </c>
      <c r="V57" s="19">
        <f>(SUM(V49:V56))</f>
        <v>16</v>
      </c>
      <c r="W57" s="21"/>
      <c r="X57" s="19" t="s">
        <v>13</v>
      </c>
      <c r="Y57" s="19">
        <f>(SUM(Y49:Y56))</f>
        <v>13</v>
      </c>
      <c r="Z57" s="19">
        <f>(SUM(Z49:Z56))</f>
        <v>0</v>
      </c>
      <c r="AA57" s="43">
        <f>(SUM(AA49:AA56))</f>
        <v>13</v>
      </c>
    </row>
    <row r="58" spans="2:27" outlineLevel="1" x14ac:dyDescent="0.2">
      <c r="B58" s="41"/>
      <c r="C58" s="1"/>
      <c r="I58" s="38"/>
      <c r="J58" s="38"/>
      <c r="K58" s="38"/>
      <c r="L58" s="38"/>
      <c r="M58" s="1"/>
      <c r="N58" s="38"/>
      <c r="O58" s="38"/>
      <c r="P58" s="38"/>
      <c r="Q58" s="38"/>
      <c r="S58" s="38"/>
      <c r="T58" s="38"/>
      <c r="U58" s="38"/>
      <c r="V58" s="38"/>
      <c r="X58" s="38"/>
      <c r="Y58" s="38"/>
      <c r="Z58" s="38"/>
      <c r="AA58" s="38"/>
    </row>
    <row r="59" spans="2:27" x14ac:dyDescent="0.2">
      <c r="B59" s="2"/>
      <c r="C59" s="1"/>
      <c r="D59" s="1"/>
      <c r="E59" s="1"/>
      <c r="F59" s="1"/>
      <c r="G59" s="1"/>
      <c r="H59" s="1"/>
      <c r="I59" s="1"/>
      <c r="J59" s="1"/>
      <c r="K59" s="1"/>
      <c r="L59" s="1"/>
      <c r="M59" s="1"/>
    </row>
    <row r="60" spans="2:27" ht="16" outlineLevel="1" x14ac:dyDescent="0.2">
      <c r="B60" s="2">
        <v>36</v>
      </c>
      <c r="C60" s="1"/>
      <c r="I60" s="20" t="s">
        <v>77</v>
      </c>
      <c r="J60" s="20">
        <v>1</v>
      </c>
      <c r="K60" s="20" t="s">
        <v>12</v>
      </c>
      <c r="L60" s="20" t="s">
        <v>15</v>
      </c>
      <c r="M60" s="33"/>
      <c r="N60" s="20" t="s">
        <v>77</v>
      </c>
      <c r="O60" s="20">
        <v>2</v>
      </c>
      <c r="P60" s="20" t="s">
        <v>12</v>
      </c>
      <c r="Q60" s="20" t="s">
        <v>15</v>
      </c>
      <c r="R60" s="21"/>
      <c r="S60" s="20" t="s">
        <v>77</v>
      </c>
      <c r="T60" s="20">
        <v>3</v>
      </c>
      <c r="U60" s="20" t="s">
        <v>12</v>
      </c>
      <c r="V60" s="20" t="s">
        <v>14</v>
      </c>
      <c r="W60" s="21"/>
      <c r="X60" s="20" t="s">
        <v>77</v>
      </c>
      <c r="Y60" s="20">
        <v>4</v>
      </c>
      <c r="Z60" s="20" t="s">
        <v>12</v>
      </c>
      <c r="AA60" s="42" t="s">
        <v>14</v>
      </c>
    </row>
    <row r="61" spans="2:27" outlineLevel="1" x14ac:dyDescent="0.2">
      <c r="B61" s="2"/>
      <c r="C61" s="1"/>
      <c r="I61" s="19" t="s">
        <v>11</v>
      </c>
      <c r="J61" s="35" t="s">
        <v>7</v>
      </c>
      <c r="K61" s="19"/>
      <c r="L61" s="19"/>
      <c r="M61" s="33"/>
      <c r="N61" s="19" t="s">
        <v>11</v>
      </c>
      <c r="O61" s="35" t="s">
        <v>8</v>
      </c>
      <c r="P61" s="19"/>
      <c r="Q61" s="19"/>
      <c r="R61" s="21"/>
      <c r="S61" s="19" t="s">
        <v>11</v>
      </c>
      <c r="T61" s="35" t="s">
        <v>5</v>
      </c>
      <c r="U61" s="19"/>
      <c r="V61" s="19"/>
      <c r="W61" s="21"/>
      <c r="X61" s="19" t="s">
        <v>11</v>
      </c>
      <c r="Y61" s="35" t="s">
        <v>6</v>
      </c>
      <c r="Z61" s="19"/>
      <c r="AA61" s="43"/>
    </row>
    <row r="62" spans="2:27" ht="18" customHeight="1" outlineLevel="1" x14ac:dyDescent="0.2">
      <c r="B62" s="2"/>
      <c r="C62" s="1"/>
      <c r="D62" s="19"/>
      <c r="E62" s="19" t="s">
        <v>60</v>
      </c>
      <c r="F62" s="20" t="s">
        <v>61</v>
      </c>
      <c r="G62" s="19" t="s">
        <v>43</v>
      </c>
      <c r="H62" s="21"/>
      <c r="I62" s="20" t="s">
        <v>9</v>
      </c>
      <c r="J62" s="20" t="s">
        <v>66</v>
      </c>
      <c r="K62" s="20" t="s">
        <v>60</v>
      </c>
      <c r="L62" s="20" t="s">
        <v>62</v>
      </c>
      <c r="M62" s="33"/>
      <c r="N62" s="20" t="s">
        <v>9</v>
      </c>
      <c r="O62" s="20" t="s">
        <v>66</v>
      </c>
      <c r="P62" s="20" t="s">
        <v>60</v>
      </c>
      <c r="Q62" s="20" t="s">
        <v>62</v>
      </c>
      <c r="R62" s="21"/>
      <c r="S62" s="20" t="s">
        <v>9</v>
      </c>
      <c r="T62" s="20" t="s">
        <v>66</v>
      </c>
      <c r="U62" s="20" t="s">
        <v>60</v>
      </c>
      <c r="V62" s="20" t="s">
        <v>62</v>
      </c>
      <c r="W62" s="21"/>
      <c r="X62" s="20" t="s">
        <v>9</v>
      </c>
      <c r="Y62" s="20" t="s">
        <v>66</v>
      </c>
      <c r="Z62" s="20" t="s">
        <v>60</v>
      </c>
      <c r="AA62" s="42" t="s">
        <v>62</v>
      </c>
    </row>
    <row r="63" spans="2:27" outlineLevel="1" x14ac:dyDescent="0.2">
      <c r="B63" s="2"/>
      <c r="C63" s="1"/>
      <c r="D63" s="19" t="s">
        <v>16</v>
      </c>
      <c r="E63" s="19">
        <f>SUM(K71,P71,U71,Z71)</f>
        <v>0</v>
      </c>
      <c r="F63" s="19">
        <f>SUM(L71,Q71,V71,AA71)</f>
        <v>69</v>
      </c>
      <c r="G63" s="19">
        <f>SUM(E63:F63)</f>
        <v>69</v>
      </c>
      <c r="H63" s="21"/>
      <c r="I63" s="20">
        <v>1</v>
      </c>
      <c r="J63" s="20">
        <f>SUM(K63,L63)</f>
        <v>5</v>
      </c>
      <c r="K63" s="20">
        <v>0</v>
      </c>
      <c r="L63" s="20">
        <v>5</v>
      </c>
      <c r="M63" s="33"/>
      <c r="N63" s="20">
        <v>1</v>
      </c>
      <c r="O63" s="20">
        <f>SUM(P63,Q63)</f>
        <v>7</v>
      </c>
      <c r="P63" s="20">
        <v>0</v>
      </c>
      <c r="Q63" s="20">
        <v>7</v>
      </c>
      <c r="R63" s="21"/>
      <c r="S63" s="20">
        <v>1</v>
      </c>
      <c r="T63" s="20">
        <f>SUM(U63,V63)</f>
        <v>3</v>
      </c>
      <c r="U63" s="20">
        <v>0</v>
      </c>
      <c r="V63" s="20">
        <v>3</v>
      </c>
      <c r="W63" s="21"/>
      <c r="X63" s="20">
        <v>1</v>
      </c>
      <c r="Y63" s="20">
        <f>SUM(Z63,AA63)</f>
        <v>3</v>
      </c>
      <c r="Z63" s="20">
        <v>0</v>
      </c>
      <c r="AA63" s="42">
        <v>3</v>
      </c>
    </row>
    <row r="64" spans="2:27" outlineLevel="1" x14ac:dyDescent="0.2">
      <c r="B64" s="2"/>
      <c r="C64" s="1"/>
      <c r="D64" s="19" t="s">
        <v>17</v>
      </c>
      <c r="E64" s="19">
        <v>0</v>
      </c>
      <c r="F64" s="19">
        <v>72</v>
      </c>
      <c r="G64" s="19">
        <f>SUM(E64:F64)</f>
        <v>72</v>
      </c>
      <c r="H64" s="21"/>
      <c r="I64" s="19">
        <v>2</v>
      </c>
      <c r="J64" s="20">
        <f t="shared" ref="J64:J70" si="13">SUM(K64,L64)</f>
        <v>10</v>
      </c>
      <c r="K64" s="19">
        <v>0</v>
      </c>
      <c r="L64" s="19">
        <v>10</v>
      </c>
      <c r="M64" s="33"/>
      <c r="N64" s="19">
        <v>2</v>
      </c>
      <c r="O64" s="20">
        <f t="shared" ref="O64:O70" si="14">SUM(P64,Q64)</f>
        <v>7</v>
      </c>
      <c r="P64" s="19">
        <v>0</v>
      </c>
      <c r="Q64" s="19">
        <v>7</v>
      </c>
      <c r="R64" s="21"/>
      <c r="S64" s="19">
        <v>2</v>
      </c>
      <c r="T64" s="20">
        <f t="shared" ref="T64:T70" si="15">SUM(U64,V64)</f>
        <v>4</v>
      </c>
      <c r="U64" s="19">
        <v>0</v>
      </c>
      <c r="V64" s="19">
        <v>4</v>
      </c>
      <c r="W64" s="21"/>
      <c r="X64" s="19">
        <v>2</v>
      </c>
      <c r="Y64" s="20">
        <f t="shared" ref="Y64:Y70" si="16">SUM(Z64,AA64)</f>
        <v>3</v>
      </c>
      <c r="Z64" s="19">
        <v>0</v>
      </c>
      <c r="AA64" s="43">
        <v>3</v>
      </c>
    </row>
    <row r="65" spans="1:27" outlineLevel="1" x14ac:dyDescent="0.2">
      <c r="B65" s="2"/>
      <c r="C65" s="1"/>
      <c r="D65" s="19" t="s">
        <v>40</v>
      </c>
      <c r="E65" s="19"/>
      <c r="F65" s="22">
        <f>MIN(F63,F64)/MAX(F63,F64)</f>
        <v>0.95833333333333337</v>
      </c>
      <c r="G65" s="22">
        <f>MIN(G63,G64)/MAX(G63,G64)</f>
        <v>0.95833333333333337</v>
      </c>
      <c r="H65" s="21"/>
      <c r="I65" s="19">
        <v>3</v>
      </c>
      <c r="J65" s="20">
        <f t="shared" si="13"/>
        <v>10</v>
      </c>
      <c r="K65" s="19">
        <v>0</v>
      </c>
      <c r="L65" s="19">
        <v>10</v>
      </c>
      <c r="M65" s="33"/>
      <c r="N65" s="19">
        <v>3</v>
      </c>
      <c r="O65" s="20">
        <f t="shared" si="14"/>
        <v>7</v>
      </c>
      <c r="P65" s="19">
        <v>0</v>
      </c>
      <c r="Q65" s="19">
        <v>7</v>
      </c>
      <c r="R65" s="21"/>
      <c r="S65" s="19">
        <v>3</v>
      </c>
      <c r="T65" s="20">
        <f t="shared" si="15"/>
        <v>4</v>
      </c>
      <c r="U65" s="19">
        <v>0</v>
      </c>
      <c r="V65" s="19">
        <v>4</v>
      </c>
      <c r="W65" s="21"/>
      <c r="X65" s="19">
        <v>3</v>
      </c>
      <c r="Y65" s="20">
        <f t="shared" si="16"/>
        <v>3</v>
      </c>
      <c r="Z65" s="19">
        <v>0</v>
      </c>
      <c r="AA65" s="43">
        <v>3</v>
      </c>
    </row>
    <row r="66" spans="1:27" outlineLevel="1" x14ac:dyDescent="0.2">
      <c r="B66" s="2"/>
      <c r="C66" s="1"/>
      <c r="D66" s="38"/>
      <c r="E66" s="38"/>
      <c r="F66" s="38"/>
      <c r="G66" s="38"/>
      <c r="I66" s="20">
        <v>4</v>
      </c>
      <c r="J66" s="20">
        <f t="shared" si="13"/>
        <v>0</v>
      </c>
      <c r="K66" s="19">
        <v>0</v>
      </c>
      <c r="L66" s="19">
        <v>0</v>
      </c>
      <c r="M66" s="33"/>
      <c r="N66" s="20">
        <v>4</v>
      </c>
      <c r="O66" s="20">
        <f t="shared" si="14"/>
        <v>0</v>
      </c>
      <c r="P66" s="19">
        <v>0</v>
      </c>
      <c r="Q66" s="19">
        <v>0</v>
      </c>
      <c r="R66" s="21"/>
      <c r="S66" s="20">
        <v>4</v>
      </c>
      <c r="T66" s="20">
        <f t="shared" si="15"/>
        <v>0</v>
      </c>
      <c r="U66" s="19">
        <v>0</v>
      </c>
      <c r="V66" s="19">
        <v>0</v>
      </c>
      <c r="W66" s="21"/>
      <c r="X66" s="20">
        <v>4</v>
      </c>
      <c r="Y66" s="20">
        <f t="shared" si="16"/>
        <v>0</v>
      </c>
      <c r="Z66" s="19">
        <v>0</v>
      </c>
      <c r="AA66" s="43">
        <v>0</v>
      </c>
    </row>
    <row r="67" spans="1:27" ht="17" customHeight="1" outlineLevel="1" x14ac:dyDescent="0.2">
      <c r="B67" s="2"/>
      <c r="C67" s="1"/>
      <c r="D67" s="19" t="s">
        <v>0</v>
      </c>
      <c r="E67" s="20" t="s">
        <v>63</v>
      </c>
      <c r="F67" s="20" t="s">
        <v>64</v>
      </c>
      <c r="G67" s="19" t="s">
        <v>37</v>
      </c>
      <c r="H67" s="21"/>
      <c r="I67" s="20">
        <v>5</v>
      </c>
      <c r="J67" s="20">
        <f t="shared" si="13"/>
        <v>0</v>
      </c>
      <c r="K67" s="19">
        <v>0</v>
      </c>
      <c r="L67" s="19">
        <v>0</v>
      </c>
      <c r="M67" s="33"/>
      <c r="N67" s="20">
        <v>5</v>
      </c>
      <c r="O67" s="20">
        <f t="shared" si="14"/>
        <v>0</v>
      </c>
      <c r="P67" s="19">
        <v>0</v>
      </c>
      <c r="Q67" s="19">
        <v>0</v>
      </c>
      <c r="R67" s="21"/>
      <c r="S67" s="20">
        <v>5</v>
      </c>
      <c r="T67" s="20">
        <f t="shared" si="15"/>
        <v>0</v>
      </c>
      <c r="U67" s="19">
        <v>0</v>
      </c>
      <c r="V67" s="19">
        <v>0</v>
      </c>
      <c r="W67" s="21"/>
      <c r="X67" s="20">
        <v>5</v>
      </c>
      <c r="Y67" s="20">
        <f t="shared" si="16"/>
        <v>0</v>
      </c>
      <c r="Z67" s="19">
        <v>0</v>
      </c>
      <c r="AA67" s="43">
        <v>0</v>
      </c>
    </row>
    <row r="68" spans="1:27" outlineLevel="1" x14ac:dyDescent="0.2">
      <c r="B68" s="2"/>
      <c r="C68" s="1"/>
      <c r="D68" s="19" t="s">
        <v>16</v>
      </c>
      <c r="E68" s="19">
        <f>SUM(P71,K71)</f>
        <v>0</v>
      </c>
      <c r="F68" s="19">
        <f>SUM(Q71,L71)</f>
        <v>49</v>
      </c>
      <c r="G68" s="19">
        <f>SUM(E68:F68)</f>
        <v>49</v>
      </c>
      <c r="H68" s="21"/>
      <c r="I68" s="20">
        <v>6</v>
      </c>
      <c r="J68" s="20">
        <f t="shared" si="13"/>
        <v>0</v>
      </c>
      <c r="K68" s="19">
        <v>0</v>
      </c>
      <c r="L68" s="19">
        <v>0</v>
      </c>
      <c r="M68" s="33"/>
      <c r="N68" s="20">
        <v>6</v>
      </c>
      <c r="O68" s="20">
        <f t="shared" si="14"/>
        <v>0</v>
      </c>
      <c r="P68" s="19">
        <v>0</v>
      </c>
      <c r="Q68" s="19">
        <v>0</v>
      </c>
      <c r="R68" s="21"/>
      <c r="S68" s="20">
        <v>6</v>
      </c>
      <c r="T68" s="20">
        <f t="shared" si="15"/>
        <v>0</v>
      </c>
      <c r="U68" s="19">
        <v>0</v>
      </c>
      <c r="V68" s="19">
        <v>0</v>
      </c>
      <c r="W68" s="21"/>
      <c r="X68" s="20">
        <v>6</v>
      </c>
      <c r="Y68" s="20">
        <f t="shared" si="16"/>
        <v>0</v>
      </c>
      <c r="Z68" s="19">
        <v>0</v>
      </c>
      <c r="AA68" s="43">
        <v>0</v>
      </c>
    </row>
    <row r="69" spans="1:27" outlineLevel="1" x14ac:dyDescent="0.2">
      <c r="B69" s="2"/>
      <c r="C69" s="1"/>
      <c r="D69" s="19" t="s">
        <v>17</v>
      </c>
      <c r="E69" s="19">
        <v>0</v>
      </c>
      <c r="F69" s="19">
        <v>49</v>
      </c>
      <c r="G69" s="19">
        <f>SUM(E69:F69)</f>
        <v>49</v>
      </c>
      <c r="H69" s="21"/>
      <c r="I69" s="20">
        <v>7</v>
      </c>
      <c r="J69" s="20">
        <f t="shared" si="13"/>
        <v>0</v>
      </c>
      <c r="K69" s="19">
        <v>0</v>
      </c>
      <c r="L69" s="19">
        <v>0</v>
      </c>
      <c r="M69" s="33"/>
      <c r="N69" s="20">
        <v>7</v>
      </c>
      <c r="O69" s="20">
        <f t="shared" si="14"/>
        <v>0</v>
      </c>
      <c r="P69" s="19">
        <v>0</v>
      </c>
      <c r="Q69" s="19">
        <v>0</v>
      </c>
      <c r="R69" s="21"/>
      <c r="S69" s="20">
        <v>7</v>
      </c>
      <c r="T69" s="20">
        <f t="shared" si="15"/>
        <v>0</v>
      </c>
      <c r="U69" s="19">
        <v>0</v>
      </c>
      <c r="V69" s="19">
        <v>0</v>
      </c>
      <c r="W69" s="21"/>
      <c r="X69" s="20">
        <v>7</v>
      </c>
      <c r="Y69" s="20">
        <f t="shared" si="16"/>
        <v>0</v>
      </c>
      <c r="Z69" s="19">
        <v>0</v>
      </c>
      <c r="AA69" s="43">
        <v>0</v>
      </c>
    </row>
    <row r="70" spans="1:27" outlineLevel="1" x14ac:dyDescent="0.2">
      <c r="B70" s="2"/>
      <c r="C70" s="1"/>
      <c r="D70" s="19" t="s">
        <v>40</v>
      </c>
      <c r="E70" s="22"/>
      <c r="F70" s="22">
        <f>MIN(F68,F69)/MAX(F68,F69)</f>
        <v>1</v>
      </c>
      <c r="G70" s="22">
        <f>MIN(G68,G69)/MAX(G68,G69)</f>
        <v>1</v>
      </c>
      <c r="H70" s="21"/>
      <c r="I70" s="19" t="s">
        <v>10</v>
      </c>
      <c r="J70" s="20">
        <f t="shared" si="13"/>
        <v>1</v>
      </c>
      <c r="K70" s="19">
        <v>0</v>
      </c>
      <c r="L70" s="19">
        <v>1</v>
      </c>
      <c r="M70" s="33"/>
      <c r="N70" s="19" t="s">
        <v>10</v>
      </c>
      <c r="O70" s="20">
        <f t="shared" si="14"/>
        <v>2</v>
      </c>
      <c r="P70" s="19">
        <v>0</v>
      </c>
      <c r="Q70" s="19">
        <v>2</v>
      </c>
      <c r="R70" s="21"/>
      <c r="S70" s="19" t="s">
        <v>10</v>
      </c>
      <c r="T70" s="20">
        <f t="shared" si="15"/>
        <v>0</v>
      </c>
      <c r="U70" s="19">
        <v>0</v>
      </c>
      <c r="V70" s="19">
        <v>0</v>
      </c>
      <c r="W70" s="21"/>
      <c r="X70" s="19" t="s">
        <v>10</v>
      </c>
      <c r="Y70" s="20">
        <f t="shared" si="16"/>
        <v>0</v>
      </c>
      <c r="Z70" s="19">
        <v>0</v>
      </c>
      <c r="AA70" s="43">
        <v>0</v>
      </c>
    </row>
    <row r="71" spans="1:27" outlineLevel="1" x14ac:dyDescent="0.2">
      <c r="B71" s="2"/>
      <c r="C71" s="1"/>
      <c r="D71" s="38"/>
      <c r="E71" s="38"/>
      <c r="F71" s="38"/>
      <c r="G71" s="38"/>
      <c r="I71" s="19" t="s">
        <v>13</v>
      </c>
      <c r="J71" s="19">
        <f>(SUM(J63:J70))</f>
        <v>26</v>
      </c>
      <c r="K71" s="19">
        <f>(SUM(K63:K70))</f>
        <v>0</v>
      </c>
      <c r="L71" s="19">
        <f>(SUM(L63:L70))</f>
        <v>26</v>
      </c>
      <c r="M71" s="33"/>
      <c r="N71" s="19" t="s">
        <v>13</v>
      </c>
      <c r="O71" s="19">
        <f>(SUM(O63:O70))</f>
        <v>23</v>
      </c>
      <c r="P71" s="19">
        <f>(SUM(P63:P70))</f>
        <v>0</v>
      </c>
      <c r="Q71" s="19">
        <f>(SUM(Q63:Q70))</f>
        <v>23</v>
      </c>
      <c r="R71" s="21"/>
      <c r="S71" s="19" t="s">
        <v>13</v>
      </c>
      <c r="T71" s="19">
        <f>(SUM(T63:T70))</f>
        <v>11</v>
      </c>
      <c r="U71" s="19">
        <f>(SUM(U63:U70))</f>
        <v>0</v>
      </c>
      <c r="V71" s="19">
        <f>(SUM(V63:V70))</f>
        <v>11</v>
      </c>
      <c r="W71" s="21"/>
      <c r="X71" s="19" t="s">
        <v>13</v>
      </c>
      <c r="Y71" s="19">
        <f>(SUM(Y63:Y70))</f>
        <v>9</v>
      </c>
      <c r="Z71" s="19">
        <f>(SUM(Z63:Z70))</f>
        <v>0</v>
      </c>
      <c r="AA71" s="43">
        <f>(SUM(AA63:AA70))</f>
        <v>9</v>
      </c>
    </row>
    <row r="72" spans="1:27" outlineLevel="1" x14ac:dyDescent="0.2">
      <c r="B72" s="2"/>
      <c r="C72" s="1"/>
      <c r="I72" s="38"/>
      <c r="J72" s="38"/>
      <c r="K72" s="38"/>
      <c r="L72" s="38"/>
      <c r="M72" s="1"/>
      <c r="N72" s="38"/>
      <c r="O72" s="38"/>
      <c r="P72" s="38"/>
      <c r="Q72" s="38"/>
      <c r="S72" s="38"/>
      <c r="T72" s="38"/>
      <c r="U72" s="38"/>
      <c r="V72" s="38"/>
      <c r="X72" s="38"/>
      <c r="Y72" s="38"/>
      <c r="Z72" s="38"/>
      <c r="AA72" s="38"/>
    </row>
    <row r="73" spans="1:27" x14ac:dyDescent="0.2">
      <c r="B73" s="2"/>
      <c r="C73" s="1"/>
      <c r="D73" s="1"/>
      <c r="E73" s="1"/>
      <c r="F73" s="1"/>
      <c r="G73" s="1"/>
      <c r="H73" s="1"/>
      <c r="I73" s="1"/>
      <c r="J73" s="1"/>
      <c r="K73" s="1"/>
      <c r="L73" s="1"/>
      <c r="M73" s="1"/>
    </row>
    <row r="74" spans="1:27" ht="32" outlineLevel="1" x14ac:dyDescent="0.2">
      <c r="A74" s="1" t="s">
        <v>70</v>
      </c>
      <c r="B74" s="2">
        <v>56</v>
      </c>
      <c r="C74" s="1"/>
      <c r="I74" s="20" t="s">
        <v>77</v>
      </c>
      <c r="J74" s="20">
        <v>1</v>
      </c>
      <c r="K74" s="20" t="s">
        <v>12</v>
      </c>
      <c r="L74" s="20" t="s">
        <v>15</v>
      </c>
      <c r="M74" s="33"/>
      <c r="N74" s="20" t="s">
        <v>77</v>
      </c>
      <c r="O74" s="20">
        <v>2</v>
      </c>
      <c r="P74" s="20" t="s">
        <v>12</v>
      </c>
      <c r="Q74" s="20" t="s">
        <v>14</v>
      </c>
      <c r="R74" s="21"/>
      <c r="S74" s="1"/>
      <c r="T74" s="1"/>
      <c r="U74" s="1"/>
      <c r="V74" s="1"/>
      <c r="X74" s="1"/>
      <c r="Y74" s="1"/>
      <c r="Z74" s="1"/>
      <c r="AA74" s="1"/>
    </row>
    <row r="75" spans="1:27" outlineLevel="1" x14ac:dyDescent="0.2">
      <c r="B75" s="2"/>
      <c r="C75" s="1"/>
      <c r="I75" s="19" t="s">
        <v>11</v>
      </c>
      <c r="J75" s="35" t="s">
        <v>8</v>
      </c>
      <c r="K75" s="19"/>
      <c r="L75" s="19"/>
      <c r="M75" s="33"/>
      <c r="N75" s="19" t="s">
        <v>11</v>
      </c>
      <c r="O75" s="35" t="s">
        <v>6</v>
      </c>
      <c r="P75" s="19"/>
      <c r="Q75" s="19"/>
      <c r="R75" s="21"/>
    </row>
    <row r="76" spans="1:27" ht="15" customHeight="1" outlineLevel="1" x14ac:dyDescent="0.2">
      <c r="B76" s="2"/>
      <c r="C76" s="1"/>
      <c r="D76" s="19"/>
      <c r="E76" s="19" t="s">
        <v>60</v>
      </c>
      <c r="F76" s="20" t="s">
        <v>61</v>
      </c>
      <c r="G76" s="19" t="s">
        <v>43</v>
      </c>
      <c r="H76" s="21"/>
      <c r="I76" s="20" t="s">
        <v>9</v>
      </c>
      <c r="J76" s="20" t="s">
        <v>66</v>
      </c>
      <c r="K76" s="20" t="s">
        <v>60</v>
      </c>
      <c r="L76" s="20" t="s">
        <v>62</v>
      </c>
      <c r="M76" s="33"/>
      <c r="N76" s="20" t="s">
        <v>9</v>
      </c>
      <c r="O76" s="20" t="s">
        <v>66</v>
      </c>
      <c r="P76" s="20" t="s">
        <v>60</v>
      </c>
      <c r="Q76" s="20" t="s">
        <v>62</v>
      </c>
      <c r="R76" s="21"/>
      <c r="S76" s="1"/>
      <c r="T76" s="1"/>
      <c r="U76" s="1"/>
      <c r="V76" s="1"/>
      <c r="X76" s="1"/>
      <c r="Y76" s="1"/>
      <c r="Z76" s="1"/>
      <c r="AA76" s="1"/>
    </row>
    <row r="77" spans="1:27" outlineLevel="1" x14ac:dyDescent="0.2">
      <c r="B77" s="2"/>
      <c r="C77" s="1"/>
      <c r="D77" s="19" t="s">
        <v>16</v>
      </c>
      <c r="E77" s="19">
        <f>SUM(K85,P85,U85,Z85)</f>
        <v>0</v>
      </c>
      <c r="F77" s="19">
        <f>SUM(L85,Q85,V85,AA85)</f>
        <v>86</v>
      </c>
      <c r="G77" s="19">
        <f>SUM(E77:F77)</f>
        <v>86</v>
      </c>
      <c r="H77" s="21"/>
      <c r="I77" s="20">
        <v>1</v>
      </c>
      <c r="J77" s="20">
        <f>SUM(K77,L77)</f>
        <v>6</v>
      </c>
      <c r="K77" s="20">
        <v>0</v>
      </c>
      <c r="L77" s="20">
        <v>6</v>
      </c>
      <c r="M77" s="33"/>
      <c r="N77" s="20">
        <v>1</v>
      </c>
      <c r="O77" s="20">
        <f>SUM(P77,Q77)</f>
        <v>6</v>
      </c>
      <c r="P77" s="20">
        <v>0</v>
      </c>
      <c r="Q77" s="20">
        <v>6</v>
      </c>
      <c r="R77" s="21"/>
      <c r="S77" s="1"/>
      <c r="T77" s="1"/>
      <c r="U77" s="1"/>
      <c r="V77" s="1"/>
      <c r="X77" s="1"/>
      <c r="Y77" s="1"/>
      <c r="Z77" s="1"/>
      <c r="AA77" s="1"/>
    </row>
    <row r="78" spans="1:27" outlineLevel="1" x14ac:dyDescent="0.2">
      <c r="B78" s="2"/>
      <c r="C78" s="1"/>
      <c r="D78" s="19" t="s">
        <v>17</v>
      </c>
      <c r="E78" s="19">
        <v>0</v>
      </c>
      <c r="F78" s="19">
        <v>78</v>
      </c>
      <c r="G78" s="19">
        <f>SUM(E78:F78)</f>
        <v>78</v>
      </c>
      <c r="H78" s="21"/>
      <c r="I78" s="19">
        <v>2</v>
      </c>
      <c r="J78" s="20">
        <f t="shared" ref="J78:J84" si="17">SUM(K78,L78)</f>
        <v>8</v>
      </c>
      <c r="K78" s="19">
        <v>0</v>
      </c>
      <c r="L78" s="19">
        <v>8</v>
      </c>
      <c r="M78" s="33"/>
      <c r="N78" s="19">
        <v>2</v>
      </c>
      <c r="O78" s="20">
        <f t="shared" ref="O78:O84" si="18">SUM(P78,Q78)</f>
        <v>10</v>
      </c>
      <c r="P78" s="19">
        <v>0</v>
      </c>
      <c r="Q78" s="19">
        <v>10</v>
      </c>
      <c r="R78" s="21"/>
      <c r="T78" s="1"/>
      <c r="Y78" s="1"/>
    </row>
    <row r="79" spans="1:27" outlineLevel="1" x14ac:dyDescent="0.2">
      <c r="B79" s="2"/>
      <c r="C79" s="1"/>
      <c r="D79" s="19" t="s">
        <v>40</v>
      </c>
      <c r="E79" s="19"/>
      <c r="F79" s="22">
        <f>MIN(F77,F78)/MAX(F77,F78)</f>
        <v>0.90697674418604646</v>
      </c>
      <c r="G79" s="22">
        <f>MIN(G77,G78)/MAX(G77,G78)</f>
        <v>0.90697674418604646</v>
      </c>
      <c r="H79" s="21"/>
      <c r="I79" s="19">
        <v>3</v>
      </c>
      <c r="J79" s="20">
        <f t="shared" si="17"/>
        <v>8</v>
      </c>
      <c r="K79" s="19">
        <v>0</v>
      </c>
      <c r="L79" s="19">
        <v>8</v>
      </c>
      <c r="M79" s="33"/>
      <c r="N79" s="19">
        <v>3</v>
      </c>
      <c r="O79" s="20">
        <f t="shared" si="18"/>
        <v>10</v>
      </c>
      <c r="P79" s="19">
        <v>0</v>
      </c>
      <c r="Q79" s="19">
        <v>10</v>
      </c>
      <c r="R79" s="21"/>
      <c r="T79" s="1"/>
      <c r="Y79" s="1"/>
    </row>
    <row r="80" spans="1:27" outlineLevel="1" x14ac:dyDescent="0.2">
      <c r="B80" s="2"/>
      <c r="C80" s="1"/>
      <c r="D80" s="38"/>
      <c r="E80" s="38"/>
      <c r="F80" s="38"/>
      <c r="G80" s="38"/>
      <c r="I80" s="20">
        <v>4</v>
      </c>
      <c r="J80" s="20">
        <f t="shared" si="17"/>
        <v>8</v>
      </c>
      <c r="K80" s="19">
        <v>0</v>
      </c>
      <c r="L80" s="19">
        <v>8</v>
      </c>
      <c r="M80" s="33"/>
      <c r="N80" s="20">
        <v>4</v>
      </c>
      <c r="O80" s="20">
        <f t="shared" si="18"/>
        <v>10</v>
      </c>
      <c r="P80" s="19">
        <v>0</v>
      </c>
      <c r="Q80" s="19">
        <v>10</v>
      </c>
      <c r="R80" s="21"/>
      <c r="S80" s="1"/>
      <c r="T80" s="1"/>
      <c r="X80" s="1"/>
      <c r="Y80" s="1"/>
    </row>
    <row r="81" spans="2:27" ht="18" customHeight="1" outlineLevel="1" x14ac:dyDescent="0.2">
      <c r="B81" s="2"/>
      <c r="C81" s="1"/>
      <c r="D81" s="19" t="s">
        <v>0</v>
      </c>
      <c r="E81" s="20" t="s">
        <v>63</v>
      </c>
      <c r="F81" s="20" t="s">
        <v>64</v>
      </c>
      <c r="G81" s="19" t="s">
        <v>37</v>
      </c>
      <c r="H81" s="21"/>
      <c r="I81" s="20">
        <v>5</v>
      </c>
      <c r="J81" s="20">
        <f t="shared" si="17"/>
        <v>12</v>
      </c>
      <c r="K81" s="19">
        <v>0</v>
      </c>
      <c r="L81" s="19">
        <v>12</v>
      </c>
      <c r="M81" s="33"/>
      <c r="N81" s="20">
        <v>5</v>
      </c>
      <c r="O81" s="20">
        <f t="shared" si="18"/>
        <v>7</v>
      </c>
      <c r="P81" s="19">
        <v>0</v>
      </c>
      <c r="Q81" s="19">
        <v>7</v>
      </c>
      <c r="R81" s="21"/>
      <c r="S81" s="1"/>
      <c r="T81" s="1"/>
      <c r="X81" s="1"/>
      <c r="Y81" s="1"/>
    </row>
    <row r="82" spans="2:27" outlineLevel="1" x14ac:dyDescent="0.2">
      <c r="B82" s="2"/>
      <c r="C82" s="1"/>
      <c r="D82" s="19" t="s">
        <v>16</v>
      </c>
      <c r="E82" s="19">
        <f>SUM(P85,K85)</f>
        <v>0</v>
      </c>
      <c r="F82" s="19">
        <f>SUM(L85)</f>
        <v>42</v>
      </c>
      <c r="G82" s="19">
        <f>SUM(E82:F82)</f>
        <v>42</v>
      </c>
      <c r="H82" s="21"/>
      <c r="I82" s="20">
        <v>6</v>
      </c>
      <c r="J82" s="20">
        <f t="shared" si="17"/>
        <v>0</v>
      </c>
      <c r="K82" s="19">
        <v>0</v>
      </c>
      <c r="L82" s="19">
        <v>0</v>
      </c>
      <c r="M82" s="33"/>
      <c r="N82" s="20">
        <v>6</v>
      </c>
      <c r="O82" s="20">
        <f t="shared" si="18"/>
        <v>0</v>
      </c>
      <c r="P82" s="19">
        <v>0</v>
      </c>
      <c r="Q82" s="19">
        <v>0</v>
      </c>
      <c r="R82" s="21"/>
      <c r="S82" s="1"/>
      <c r="T82" s="1"/>
      <c r="X82" s="1"/>
      <c r="Y82" s="1"/>
    </row>
    <row r="83" spans="2:27" outlineLevel="1" x14ac:dyDescent="0.2">
      <c r="B83" s="2"/>
      <c r="C83" s="1"/>
      <c r="D83" s="19" t="s">
        <v>17</v>
      </c>
      <c r="E83" s="19">
        <v>0</v>
      </c>
      <c r="F83" s="19">
        <v>39</v>
      </c>
      <c r="G83" s="19">
        <f>SUM(E83:F83)</f>
        <v>39</v>
      </c>
      <c r="H83" s="21"/>
      <c r="I83" s="20">
        <v>7</v>
      </c>
      <c r="J83" s="20">
        <f t="shared" si="17"/>
        <v>0</v>
      </c>
      <c r="K83" s="19">
        <v>0</v>
      </c>
      <c r="L83" s="19">
        <v>0</v>
      </c>
      <c r="M83" s="33"/>
      <c r="N83" s="20">
        <v>7</v>
      </c>
      <c r="O83" s="20">
        <f t="shared" si="18"/>
        <v>0</v>
      </c>
      <c r="P83" s="19">
        <v>0</v>
      </c>
      <c r="Q83" s="19">
        <v>0</v>
      </c>
      <c r="R83" s="21"/>
      <c r="S83" s="1"/>
      <c r="T83" s="1"/>
      <c r="X83" s="1"/>
      <c r="Y83" s="1"/>
    </row>
    <row r="84" spans="2:27" outlineLevel="1" x14ac:dyDescent="0.2">
      <c r="B84" s="2"/>
      <c r="C84" s="1"/>
      <c r="D84" s="19" t="s">
        <v>40</v>
      </c>
      <c r="E84" s="22"/>
      <c r="F84" s="22">
        <f>MIN(F82,F83)/MAX(F82,F83)</f>
        <v>0.9285714285714286</v>
      </c>
      <c r="G84" s="22">
        <f>MIN(G82,G83)/MAX(G82,G83)</f>
        <v>0.9285714285714286</v>
      </c>
      <c r="H84" s="21"/>
      <c r="I84" s="19" t="s">
        <v>10</v>
      </c>
      <c r="J84" s="20">
        <f t="shared" si="17"/>
        <v>0</v>
      </c>
      <c r="K84" s="19">
        <v>0</v>
      </c>
      <c r="L84" s="19">
        <v>0</v>
      </c>
      <c r="M84" s="33"/>
      <c r="N84" s="19" t="s">
        <v>10</v>
      </c>
      <c r="O84" s="20">
        <f t="shared" si="18"/>
        <v>1</v>
      </c>
      <c r="P84" s="19">
        <v>0</v>
      </c>
      <c r="Q84" s="19">
        <v>1</v>
      </c>
      <c r="R84" s="21"/>
      <c r="T84" s="1"/>
      <c r="Y84" s="1"/>
    </row>
    <row r="85" spans="2:27" outlineLevel="1" x14ac:dyDescent="0.2">
      <c r="B85" s="2"/>
      <c r="C85" s="1"/>
      <c r="D85" s="38"/>
      <c r="E85" s="38"/>
      <c r="F85" s="38"/>
      <c r="G85" s="38"/>
      <c r="I85" s="19" t="s">
        <v>13</v>
      </c>
      <c r="J85" s="19">
        <f>(SUM(J77:J84))</f>
        <v>42</v>
      </c>
      <c r="K85" s="19">
        <f>(SUM(K77:K84))</f>
        <v>0</v>
      </c>
      <c r="L85" s="19">
        <f>(SUM(L77:L84))</f>
        <v>42</v>
      </c>
      <c r="M85" s="33"/>
      <c r="N85" s="19" t="s">
        <v>13</v>
      </c>
      <c r="O85" s="19">
        <f>(SUM(O77:O84))</f>
        <v>44</v>
      </c>
      <c r="P85" s="19">
        <f>(SUM(P77:P84))</f>
        <v>0</v>
      </c>
      <c r="Q85" s="19">
        <f>(SUM(Q77:Q84))</f>
        <v>44</v>
      </c>
      <c r="R85" s="21"/>
    </row>
    <row r="86" spans="2:27" outlineLevel="1" x14ac:dyDescent="0.2">
      <c r="B86" s="2"/>
      <c r="C86" s="1"/>
      <c r="I86" s="38"/>
      <c r="J86" s="38"/>
      <c r="K86" s="38"/>
      <c r="L86" s="38"/>
      <c r="M86" s="1"/>
      <c r="N86" s="38"/>
      <c r="O86" s="38"/>
      <c r="P86" s="38"/>
      <c r="Q86" s="38"/>
    </row>
    <row r="87" spans="2:27" x14ac:dyDescent="0.2">
      <c r="B87" s="2"/>
      <c r="C87" s="1"/>
      <c r="D87" s="1"/>
      <c r="E87" s="1"/>
      <c r="F87" s="1"/>
      <c r="G87" s="1"/>
      <c r="H87" s="1"/>
      <c r="I87" s="1"/>
      <c r="J87" s="1"/>
      <c r="K87" s="1"/>
      <c r="L87" s="1"/>
      <c r="M87" s="1"/>
    </row>
    <row r="88" spans="2:27" ht="16" outlineLevel="1" x14ac:dyDescent="0.2">
      <c r="B88" s="2">
        <v>54</v>
      </c>
      <c r="C88" s="1"/>
      <c r="I88" s="20" t="s">
        <v>77</v>
      </c>
      <c r="J88" s="20">
        <v>1</v>
      </c>
      <c r="K88" s="20" t="s">
        <v>12</v>
      </c>
      <c r="L88" s="20" t="s">
        <v>15</v>
      </c>
      <c r="M88" s="33"/>
      <c r="N88" s="20" t="s">
        <v>77</v>
      </c>
      <c r="O88" s="20">
        <v>2</v>
      </c>
      <c r="P88" s="20" t="s">
        <v>12</v>
      </c>
      <c r="Q88" s="20" t="s">
        <v>14</v>
      </c>
      <c r="R88" s="21"/>
      <c r="S88" s="1"/>
      <c r="T88" s="1"/>
      <c r="U88" s="1"/>
      <c r="V88" s="1"/>
      <c r="X88" s="1"/>
      <c r="Y88" s="1"/>
      <c r="Z88" s="1"/>
      <c r="AA88" s="1"/>
    </row>
    <row r="89" spans="2:27" outlineLevel="1" x14ac:dyDescent="0.2">
      <c r="B89" s="2"/>
      <c r="C89" s="1"/>
      <c r="I89" s="19" t="s">
        <v>11</v>
      </c>
      <c r="J89" s="35" t="s">
        <v>8</v>
      </c>
      <c r="K89" s="19"/>
      <c r="L89" s="19"/>
      <c r="M89" s="33"/>
      <c r="N89" s="19" t="s">
        <v>11</v>
      </c>
      <c r="O89" s="35" t="s">
        <v>6</v>
      </c>
      <c r="P89" s="19"/>
      <c r="Q89" s="19"/>
      <c r="R89" s="21"/>
    </row>
    <row r="90" spans="2:27" ht="18" customHeight="1" outlineLevel="1" x14ac:dyDescent="0.2">
      <c r="B90" s="2"/>
      <c r="C90" s="1"/>
      <c r="D90" s="19"/>
      <c r="E90" s="19" t="s">
        <v>60</v>
      </c>
      <c r="F90" s="20" t="s">
        <v>61</v>
      </c>
      <c r="G90" s="19" t="s">
        <v>43</v>
      </c>
      <c r="H90" s="21"/>
      <c r="I90" s="20" t="s">
        <v>9</v>
      </c>
      <c r="J90" s="20" t="s">
        <v>66</v>
      </c>
      <c r="K90" s="20" t="s">
        <v>60</v>
      </c>
      <c r="L90" s="20" t="s">
        <v>62</v>
      </c>
      <c r="M90" s="33"/>
      <c r="N90" s="20" t="s">
        <v>9</v>
      </c>
      <c r="O90" s="20" t="s">
        <v>66</v>
      </c>
      <c r="P90" s="20" t="s">
        <v>60</v>
      </c>
      <c r="Q90" s="20" t="s">
        <v>62</v>
      </c>
      <c r="R90" s="21"/>
      <c r="S90" s="1"/>
      <c r="T90" s="1"/>
      <c r="U90" s="1"/>
      <c r="V90" s="1"/>
      <c r="X90" s="1"/>
      <c r="Y90" s="1"/>
      <c r="Z90" s="1"/>
      <c r="AA90" s="1"/>
    </row>
    <row r="91" spans="2:27" outlineLevel="1" x14ac:dyDescent="0.2">
      <c r="B91" s="2"/>
      <c r="C91" s="1"/>
      <c r="D91" s="19" t="s">
        <v>16</v>
      </c>
      <c r="E91" s="19">
        <f>SUM(K99,P99,U99,Z99)</f>
        <v>8</v>
      </c>
      <c r="F91" s="19">
        <f>SUM(L99,Q99,V99,AA99)</f>
        <v>45</v>
      </c>
      <c r="G91" s="19">
        <f>SUM(E91:F91)</f>
        <v>53</v>
      </c>
      <c r="H91" s="21"/>
      <c r="I91" s="20">
        <v>1</v>
      </c>
      <c r="J91" s="20">
        <f>SUM(K91,L91)</f>
        <v>6</v>
      </c>
      <c r="K91" s="20">
        <v>0</v>
      </c>
      <c r="L91" s="20">
        <v>6</v>
      </c>
      <c r="M91" s="33"/>
      <c r="N91" s="20">
        <v>1</v>
      </c>
      <c r="O91" s="20">
        <f>SUM(P91,Q91)</f>
        <v>7</v>
      </c>
      <c r="P91" s="20">
        <v>0</v>
      </c>
      <c r="Q91" s="20">
        <v>7</v>
      </c>
      <c r="R91" s="21"/>
      <c r="S91" s="1"/>
      <c r="T91" s="1"/>
      <c r="U91" s="1"/>
      <c r="V91" s="1"/>
      <c r="X91" s="1"/>
      <c r="Y91" s="1"/>
      <c r="Z91" s="1"/>
      <c r="AA91" s="1"/>
    </row>
    <row r="92" spans="2:27" outlineLevel="1" x14ac:dyDescent="0.2">
      <c r="B92" s="84" t="s">
        <v>67</v>
      </c>
      <c r="C92" s="33"/>
      <c r="D92" s="19" t="s">
        <v>17</v>
      </c>
      <c r="E92" s="19">
        <v>29</v>
      </c>
      <c r="F92" s="19">
        <v>51</v>
      </c>
      <c r="G92" s="19">
        <f>SUM(E92:F92)</f>
        <v>80</v>
      </c>
      <c r="H92" s="21"/>
      <c r="I92" s="19">
        <v>2</v>
      </c>
      <c r="J92" s="20">
        <f t="shared" ref="J92:J98" si="19">SUM(K92,L92)</f>
        <v>14</v>
      </c>
      <c r="K92" s="19">
        <v>8</v>
      </c>
      <c r="L92" s="19">
        <v>6</v>
      </c>
      <c r="M92" s="33"/>
      <c r="N92" s="19">
        <v>2</v>
      </c>
      <c r="O92" s="20">
        <f t="shared" ref="O92:O98" si="20">SUM(P92,Q92)</f>
        <v>8</v>
      </c>
      <c r="P92" s="19">
        <v>0</v>
      </c>
      <c r="Q92" s="19">
        <v>8</v>
      </c>
      <c r="R92" s="21"/>
      <c r="T92" s="1"/>
      <c r="Y92" s="1"/>
    </row>
    <row r="93" spans="2:27" outlineLevel="1" x14ac:dyDescent="0.2">
      <c r="B93" s="84"/>
      <c r="C93" s="33"/>
      <c r="D93" s="19" t="s">
        <v>40</v>
      </c>
      <c r="E93" s="22">
        <f>MIN(E91,E92)/MAX(E91,E92)</f>
        <v>0.27586206896551724</v>
      </c>
      <c r="F93" s="22">
        <f>MIN(F91,F92)/MAX(F91,F92)</f>
        <v>0.88235294117647056</v>
      </c>
      <c r="G93" s="22">
        <f>MIN(G91,G92)/MAX(G91,G92)</f>
        <v>0.66249999999999998</v>
      </c>
      <c r="H93" s="21"/>
      <c r="I93" s="19">
        <v>3</v>
      </c>
      <c r="J93" s="20">
        <f t="shared" si="19"/>
        <v>8</v>
      </c>
      <c r="K93" s="19">
        <v>0</v>
      </c>
      <c r="L93" s="19">
        <v>8</v>
      </c>
      <c r="M93" s="33"/>
      <c r="N93" s="19">
        <v>3</v>
      </c>
      <c r="O93" s="20">
        <f t="shared" si="20"/>
        <v>8</v>
      </c>
      <c r="P93" s="19">
        <v>0</v>
      </c>
      <c r="Q93" s="19">
        <v>8</v>
      </c>
      <c r="R93" s="21"/>
      <c r="T93" s="1"/>
      <c r="Y93" s="1"/>
    </row>
    <row r="94" spans="2:27" outlineLevel="1" x14ac:dyDescent="0.2">
      <c r="B94" s="41"/>
      <c r="C94" s="1"/>
      <c r="D94" s="38"/>
      <c r="E94" s="38"/>
      <c r="F94" s="38"/>
      <c r="G94" s="38"/>
      <c r="I94" s="20">
        <v>4</v>
      </c>
      <c r="J94" s="20">
        <f t="shared" si="19"/>
        <v>0</v>
      </c>
      <c r="K94" s="19">
        <v>0</v>
      </c>
      <c r="L94" s="19">
        <v>0</v>
      </c>
      <c r="M94" s="33"/>
      <c r="N94" s="20">
        <v>4</v>
      </c>
      <c r="O94" s="20">
        <f t="shared" si="20"/>
        <v>0</v>
      </c>
      <c r="P94" s="19">
        <v>0</v>
      </c>
      <c r="Q94" s="19">
        <v>0</v>
      </c>
      <c r="R94" s="21"/>
      <c r="S94" s="1"/>
      <c r="T94" s="1"/>
      <c r="X94" s="1"/>
      <c r="Y94" s="1"/>
    </row>
    <row r="95" spans="2:27" ht="14" customHeight="1" outlineLevel="1" x14ac:dyDescent="0.2">
      <c r="B95" s="2"/>
      <c r="C95" s="1"/>
      <c r="D95" s="19" t="s">
        <v>0</v>
      </c>
      <c r="E95" s="20" t="s">
        <v>63</v>
      </c>
      <c r="F95" s="20" t="s">
        <v>64</v>
      </c>
      <c r="G95" s="19" t="s">
        <v>37</v>
      </c>
      <c r="H95" s="21"/>
      <c r="I95" s="20">
        <v>5</v>
      </c>
      <c r="J95" s="20">
        <f t="shared" si="19"/>
        <v>0</v>
      </c>
      <c r="K95" s="19">
        <v>0</v>
      </c>
      <c r="L95" s="19">
        <v>0</v>
      </c>
      <c r="M95" s="33"/>
      <c r="N95" s="20">
        <v>5</v>
      </c>
      <c r="O95" s="20">
        <f t="shared" si="20"/>
        <v>0</v>
      </c>
      <c r="P95" s="19">
        <v>0</v>
      </c>
      <c r="Q95" s="19">
        <v>0</v>
      </c>
      <c r="R95" s="21"/>
      <c r="S95" s="1"/>
      <c r="T95" s="1"/>
      <c r="X95" s="1"/>
      <c r="Y95" s="1"/>
    </row>
    <row r="96" spans="2:27" outlineLevel="1" x14ac:dyDescent="0.2">
      <c r="B96" s="2"/>
      <c r="C96" s="1"/>
      <c r="D96" s="19" t="s">
        <v>16</v>
      </c>
      <c r="E96" s="19">
        <f>SUM(P99,K99)</f>
        <v>8</v>
      </c>
      <c r="F96" s="19">
        <f>SUM(L99)</f>
        <v>22</v>
      </c>
      <c r="G96" s="19">
        <f>SUM(E96:F96)</f>
        <v>30</v>
      </c>
      <c r="H96" s="21"/>
      <c r="I96" s="20">
        <v>6</v>
      </c>
      <c r="J96" s="20">
        <f t="shared" si="19"/>
        <v>0</v>
      </c>
      <c r="K96" s="19">
        <v>0</v>
      </c>
      <c r="L96" s="19">
        <v>0</v>
      </c>
      <c r="M96" s="33"/>
      <c r="N96" s="20">
        <v>6</v>
      </c>
      <c r="O96" s="20">
        <f t="shared" si="20"/>
        <v>0</v>
      </c>
      <c r="P96" s="19">
        <v>0</v>
      </c>
      <c r="Q96" s="19">
        <v>0</v>
      </c>
      <c r="R96" s="21"/>
      <c r="S96" s="1"/>
      <c r="T96" s="1"/>
      <c r="X96" s="1"/>
      <c r="Y96" s="1"/>
    </row>
    <row r="97" spans="1:27" outlineLevel="1" x14ac:dyDescent="0.2">
      <c r="B97" s="2"/>
      <c r="C97" s="1"/>
      <c r="D97" s="19" t="s">
        <v>17</v>
      </c>
      <c r="E97" s="19">
        <v>8</v>
      </c>
      <c r="F97" s="19">
        <v>14</v>
      </c>
      <c r="G97" s="19">
        <f>SUM(E97:F97)</f>
        <v>22</v>
      </c>
      <c r="H97" s="21"/>
      <c r="I97" s="20">
        <v>7</v>
      </c>
      <c r="J97" s="20">
        <f t="shared" si="19"/>
        <v>0</v>
      </c>
      <c r="K97" s="19">
        <v>0</v>
      </c>
      <c r="L97" s="19">
        <v>0</v>
      </c>
      <c r="M97" s="33"/>
      <c r="N97" s="20">
        <v>7</v>
      </c>
      <c r="O97" s="20">
        <f t="shared" si="20"/>
        <v>0</v>
      </c>
      <c r="P97" s="19">
        <v>0</v>
      </c>
      <c r="Q97" s="19">
        <v>0</v>
      </c>
      <c r="R97" s="21"/>
      <c r="S97" s="1"/>
      <c r="T97" s="1"/>
      <c r="X97" s="1"/>
      <c r="Y97" s="1"/>
    </row>
    <row r="98" spans="1:27" outlineLevel="1" x14ac:dyDescent="0.2">
      <c r="B98" s="2"/>
      <c r="C98" s="1"/>
      <c r="D98" s="19" t="s">
        <v>40</v>
      </c>
      <c r="E98" s="22">
        <f>MIN(E96,E97)/MAX(E96,E97)</f>
        <v>1</v>
      </c>
      <c r="F98" s="22">
        <f>MIN(F96,F97)/MAX(F96,F97)</f>
        <v>0.63636363636363635</v>
      </c>
      <c r="G98" s="22">
        <f>MIN(G96,G97)/MAX(G96,G97)</f>
        <v>0.73333333333333328</v>
      </c>
      <c r="H98" s="21"/>
      <c r="I98" s="19" t="s">
        <v>10</v>
      </c>
      <c r="J98" s="20">
        <f t="shared" si="19"/>
        <v>2</v>
      </c>
      <c r="K98" s="19">
        <v>0</v>
      </c>
      <c r="L98" s="19">
        <v>2</v>
      </c>
      <c r="M98" s="33"/>
      <c r="N98" s="19" t="s">
        <v>10</v>
      </c>
      <c r="O98" s="20">
        <f t="shared" si="20"/>
        <v>0</v>
      </c>
      <c r="P98" s="19">
        <v>0</v>
      </c>
      <c r="Q98" s="19">
        <v>0</v>
      </c>
      <c r="R98" s="21"/>
      <c r="T98" s="1"/>
      <c r="Y98" s="1"/>
    </row>
    <row r="99" spans="1:27" outlineLevel="1" x14ac:dyDescent="0.2">
      <c r="C99" s="1"/>
      <c r="D99" s="38"/>
      <c r="E99" s="38"/>
      <c r="F99" s="38"/>
      <c r="G99" s="38"/>
      <c r="I99" s="19" t="s">
        <v>13</v>
      </c>
      <c r="J99" s="19">
        <f>(SUM(J91:J98))</f>
        <v>30</v>
      </c>
      <c r="K99" s="19">
        <f>(SUM(K91:K98))</f>
        <v>8</v>
      </c>
      <c r="L99" s="19">
        <f>(SUM(L91:L98))</f>
        <v>22</v>
      </c>
      <c r="M99" s="33"/>
      <c r="N99" s="19" t="s">
        <v>13</v>
      </c>
      <c r="O99" s="19">
        <f>(SUM(O91:O98))</f>
        <v>23</v>
      </c>
      <c r="P99" s="19">
        <f>(SUM(P91:P98))</f>
        <v>0</v>
      </c>
      <c r="Q99" s="19">
        <f>(SUM(Q91:Q98))</f>
        <v>23</v>
      </c>
      <c r="R99" s="21"/>
    </row>
    <row r="100" spans="1:27" x14ac:dyDescent="0.2">
      <c r="B100" s="2"/>
      <c r="C100" s="1"/>
      <c r="D100" s="1"/>
      <c r="E100" s="1"/>
      <c r="F100" s="1"/>
      <c r="G100" s="1"/>
      <c r="H100" s="1"/>
      <c r="I100" s="39"/>
      <c r="J100" s="39"/>
      <c r="K100" s="39"/>
      <c r="L100" s="39"/>
      <c r="M100" s="1"/>
      <c r="N100" s="38"/>
      <c r="O100" s="38"/>
      <c r="P100" s="38"/>
      <c r="Q100" s="38"/>
    </row>
    <row r="101" spans="1:27" outlineLevel="1" x14ac:dyDescent="0.2">
      <c r="C101" s="1"/>
      <c r="D101" s="1"/>
      <c r="E101" s="1"/>
      <c r="F101" s="1"/>
      <c r="G101" s="1"/>
      <c r="H101" s="1"/>
      <c r="I101" s="1"/>
      <c r="J101" s="1"/>
      <c r="K101" s="1"/>
      <c r="L101" s="1"/>
      <c r="M101" s="1"/>
    </row>
    <row r="102" spans="1:27" ht="32" outlineLevel="1" x14ac:dyDescent="0.2">
      <c r="A102" s="1" t="s">
        <v>69</v>
      </c>
      <c r="B102" s="2">
        <v>27</v>
      </c>
      <c r="I102" s="20" t="s">
        <v>77</v>
      </c>
      <c r="J102" s="20">
        <v>1</v>
      </c>
      <c r="K102" s="20" t="s">
        <v>12</v>
      </c>
      <c r="L102" s="20" t="s">
        <v>15</v>
      </c>
      <c r="M102" s="33"/>
      <c r="N102" s="20" t="s">
        <v>77</v>
      </c>
      <c r="O102" s="20">
        <v>2</v>
      </c>
      <c r="P102" s="20" t="s">
        <v>12</v>
      </c>
      <c r="Q102" s="20" t="s">
        <v>15</v>
      </c>
      <c r="R102" s="21"/>
      <c r="S102" s="20" t="s">
        <v>77</v>
      </c>
      <c r="T102" s="20">
        <v>3</v>
      </c>
      <c r="U102" s="20" t="s">
        <v>12</v>
      </c>
      <c r="V102" s="20" t="s">
        <v>14</v>
      </c>
      <c r="W102" s="21"/>
      <c r="X102" s="20" t="s">
        <v>77</v>
      </c>
      <c r="Y102" s="20">
        <v>4</v>
      </c>
      <c r="Z102" s="20" t="s">
        <v>12</v>
      </c>
      <c r="AA102" s="42" t="s">
        <v>14</v>
      </c>
    </row>
    <row r="103" spans="1:27" outlineLevel="1" x14ac:dyDescent="0.2">
      <c r="B103" s="2"/>
      <c r="I103" s="19" t="s">
        <v>11</v>
      </c>
      <c r="J103" s="35" t="s">
        <v>8</v>
      </c>
      <c r="K103" s="19"/>
      <c r="L103" s="19"/>
      <c r="M103" s="33"/>
      <c r="N103" s="19" t="s">
        <v>11</v>
      </c>
      <c r="O103" s="35" t="s">
        <v>5</v>
      </c>
      <c r="P103" s="19"/>
      <c r="Q103" s="19"/>
      <c r="R103" s="21"/>
      <c r="S103" s="19" t="s">
        <v>11</v>
      </c>
      <c r="T103" s="35" t="s">
        <v>7</v>
      </c>
      <c r="U103" s="19"/>
      <c r="V103" s="19"/>
      <c r="W103" s="21"/>
      <c r="X103" s="19" t="s">
        <v>11</v>
      </c>
      <c r="Y103" s="35" t="s">
        <v>6</v>
      </c>
      <c r="Z103" s="19"/>
      <c r="AA103" s="43"/>
    </row>
    <row r="104" spans="1:27" ht="19" customHeight="1" outlineLevel="1" x14ac:dyDescent="0.2">
      <c r="B104" s="2"/>
      <c r="D104" s="19"/>
      <c r="E104" s="19" t="s">
        <v>60</v>
      </c>
      <c r="F104" s="20" t="s">
        <v>61</v>
      </c>
      <c r="G104" s="19" t="s">
        <v>43</v>
      </c>
      <c r="H104" s="21"/>
      <c r="I104" s="20" t="s">
        <v>9</v>
      </c>
      <c r="J104" s="20" t="s">
        <v>66</v>
      </c>
      <c r="K104" s="20" t="s">
        <v>60</v>
      </c>
      <c r="L104" s="20" t="s">
        <v>62</v>
      </c>
      <c r="M104" s="33"/>
      <c r="N104" s="20" t="s">
        <v>9</v>
      </c>
      <c r="O104" s="20" t="s">
        <v>66</v>
      </c>
      <c r="P104" s="20" t="s">
        <v>60</v>
      </c>
      <c r="Q104" s="20" t="s">
        <v>62</v>
      </c>
      <c r="R104" s="21"/>
      <c r="S104" s="20" t="s">
        <v>9</v>
      </c>
      <c r="T104" s="20" t="s">
        <v>66</v>
      </c>
      <c r="U104" s="20" t="s">
        <v>60</v>
      </c>
      <c r="V104" s="20" t="s">
        <v>62</v>
      </c>
      <c r="W104" s="21"/>
      <c r="X104" s="20" t="s">
        <v>9</v>
      </c>
      <c r="Y104" s="20" t="s">
        <v>66</v>
      </c>
      <c r="Z104" s="20" t="s">
        <v>60</v>
      </c>
      <c r="AA104" s="42" t="s">
        <v>62</v>
      </c>
    </row>
    <row r="105" spans="1:27" outlineLevel="1" x14ac:dyDescent="0.2">
      <c r="B105" s="2"/>
      <c r="D105" s="19" t="s">
        <v>16</v>
      </c>
      <c r="E105" s="19">
        <f>SUM(K113,P113,U113,Z113)</f>
        <v>0</v>
      </c>
      <c r="F105" s="19">
        <f>SUM(L113,Q113,V113,AA113)</f>
        <v>38</v>
      </c>
      <c r="G105" s="19">
        <f>SUM(E105:F105)</f>
        <v>38</v>
      </c>
      <c r="H105" s="21"/>
      <c r="I105" s="20">
        <v>1</v>
      </c>
      <c r="J105" s="20">
        <f>SUM(K105,L105)</f>
        <v>0</v>
      </c>
      <c r="K105" s="20">
        <v>0</v>
      </c>
      <c r="L105" s="20">
        <v>0</v>
      </c>
      <c r="M105" s="33"/>
      <c r="N105" s="20">
        <v>1</v>
      </c>
      <c r="O105" s="20">
        <f>SUM(P105,Q105)</f>
        <v>0</v>
      </c>
      <c r="P105" s="20">
        <v>0</v>
      </c>
      <c r="Q105" s="20">
        <v>0</v>
      </c>
      <c r="R105" s="21"/>
      <c r="S105" s="20">
        <v>1</v>
      </c>
      <c r="T105" s="20">
        <f>SUM(U105,V105)</f>
        <v>5</v>
      </c>
      <c r="U105" s="20">
        <v>0</v>
      </c>
      <c r="V105" s="20">
        <v>5</v>
      </c>
      <c r="W105" s="21"/>
      <c r="X105" s="20">
        <v>1</v>
      </c>
      <c r="Y105" s="20">
        <f>SUM(Z105,AA105)</f>
        <v>3</v>
      </c>
      <c r="Z105" s="20">
        <v>0</v>
      </c>
      <c r="AA105" s="42">
        <v>3</v>
      </c>
    </row>
    <row r="106" spans="1:27" outlineLevel="1" x14ac:dyDescent="0.2">
      <c r="B106" s="84" t="s">
        <v>67</v>
      </c>
      <c r="C106" s="21"/>
      <c r="D106" s="19" t="s">
        <v>17</v>
      </c>
      <c r="E106" s="19">
        <v>0</v>
      </c>
      <c r="F106" s="19">
        <v>22.3</v>
      </c>
      <c r="G106" s="19">
        <f>SUM(E106:F106)</f>
        <v>22.3</v>
      </c>
      <c r="H106" s="21"/>
      <c r="I106" s="19">
        <v>2</v>
      </c>
      <c r="J106" s="20">
        <f t="shared" ref="J106:J112" si="21">SUM(K106,L106)</f>
        <v>0</v>
      </c>
      <c r="K106" s="19">
        <v>0</v>
      </c>
      <c r="L106" s="19">
        <v>0</v>
      </c>
      <c r="M106" s="33"/>
      <c r="N106" s="19">
        <v>2</v>
      </c>
      <c r="O106" s="20">
        <f t="shared" ref="O106:O112" si="22">SUM(P106,Q106)</f>
        <v>0</v>
      </c>
      <c r="P106" s="19">
        <v>0</v>
      </c>
      <c r="Q106" s="19">
        <v>0</v>
      </c>
      <c r="R106" s="21"/>
      <c r="S106" s="19">
        <v>2</v>
      </c>
      <c r="T106" s="20">
        <f t="shared" ref="T106:T112" si="23">SUM(U106,V106)</f>
        <v>6</v>
      </c>
      <c r="U106" s="19">
        <v>0</v>
      </c>
      <c r="V106" s="19">
        <v>6</v>
      </c>
      <c r="W106" s="21"/>
      <c r="X106" s="19">
        <v>2</v>
      </c>
      <c r="Y106" s="20">
        <f t="shared" ref="Y106:Y112" si="24">SUM(Z106,AA106)</f>
        <v>4</v>
      </c>
      <c r="Z106" s="19">
        <v>0</v>
      </c>
      <c r="AA106" s="43">
        <v>4</v>
      </c>
    </row>
    <row r="107" spans="1:27" outlineLevel="1" x14ac:dyDescent="0.2">
      <c r="B107" s="84"/>
      <c r="C107" s="21"/>
      <c r="D107" s="19" t="s">
        <v>40</v>
      </c>
      <c r="E107" s="19"/>
      <c r="F107" s="22">
        <f>MIN(F105,F106)/MAX(F105,F106)</f>
        <v>0.58684210526315794</v>
      </c>
      <c r="G107" s="22">
        <f>MIN(G105,G106)/MAX(G105,G106)</f>
        <v>0.58684210526315794</v>
      </c>
      <c r="H107" s="21"/>
      <c r="I107" s="19">
        <v>3</v>
      </c>
      <c r="J107" s="20">
        <f t="shared" si="21"/>
        <v>5</v>
      </c>
      <c r="K107" s="19">
        <v>0</v>
      </c>
      <c r="L107" s="19">
        <v>5</v>
      </c>
      <c r="M107" s="33"/>
      <c r="N107" s="19">
        <v>3</v>
      </c>
      <c r="O107" s="20">
        <f t="shared" si="22"/>
        <v>4</v>
      </c>
      <c r="P107" s="19">
        <v>0</v>
      </c>
      <c r="Q107" s="19">
        <v>4</v>
      </c>
      <c r="R107" s="21"/>
      <c r="S107" s="19">
        <v>3</v>
      </c>
      <c r="T107" s="20">
        <f t="shared" si="23"/>
        <v>6</v>
      </c>
      <c r="U107" s="19">
        <v>0</v>
      </c>
      <c r="V107" s="19">
        <v>6</v>
      </c>
      <c r="W107" s="21"/>
      <c r="X107" s="19">
        <v>3</v>
      </c>
      <c r="Y107" s="20">
        <f t="shared" si="24"/>
        <v>4</v>
      </c>
      <c r="Z107" s="19">
        <v>0</v>
      </c>
      <c r="AA107" s="43">
        <v>4</v>
      </c>
    </row>
    <row r="108" spans="1:27" outlineLevel="1" x14ac:dyDescent="0.2">
      <c r="B108" s="41"/>
      <c r="D108" s="38"/>
      <c r="E108" s="38"/>
      <c r="F108" s="38"/>
      <c r="G108" s="38"/>
      <c r="I108" s="20">
        <v>4</v>
      </c>
      <c r="J108" s="20">
        <f t="shared" si="21"/>
        <v>0</v>
      </c>
      <c r="K108" s="19">
        <v>0</v>
      </c>
      <c r="L108" s="19">
        <v>0</v>
      </c>
      <c r="M108" s="33"/>
      <c r="N108" s="20">
        <v>4</v>
      </c>
      <c r="O108" s="20">
        <f t="shared" si="22"/>
        <v>0</v>
      </c>
      <c r="P108" s="19">
        <v>0</v>
      </c>
      <c r="Q108" s="19">
        <v>0</v>
      </c>
      <c r="R108" s="21"/>
      <c r="S108" s="20">
        <v>4</v>
      </c>
      <c r="T108" s="20">
        <f t="shared" si="23"/>
        <v>0</v>
      </c>
      <c r="U108" s="19">
        <v>0</v>
      </c>
      <c r="V108" s="19">
        <v>0</v>
      </c>
      <c r="W108" s="21"/>
      <c r="X108" s="20">
        <v>4</v>
      </c>
      <c r="Y108" s="20">
        <f t="shared" si="24"/>
        <v>0</v>
      </c>
      <c r="Z108" s="19">
        <v>0</v>
      </c>
      <c r="AA108" s="43">
        <v>0</v>
      </c>
    </row>
    <row r="109" spans="1:27" ht="17" customHeight="1" outlineLevel="1" x14ac:dyDescent="0.2">
      <c r="B109" s="2"/>
      <c r="D109" s="19" t="s">
        <v>0</v>
      </c>
      <c r="E109" s="20" t="s">
        <v>63</v>
      </c>
      <c r="F109" s="20" t="s">
        <v>64</v>
      </c>
      <c r="G109" s="19" t="s">
        <v>37</v>
      </c>
      <c r="H109" s="21"/>
      <c r="I109" s="20">
        <v>5</v>
      </c>
      <c r="J109" s="20">
        <f t="shared" si="21"/>
        <v>0</v>
      </c>
      <c r="K109" s="19">
        <v>0</v>
      </c>
      <c r="L109" s="19">
        <v>0</v>
      </c>
      <c r="M109" s="33"/>
      <c r="N109" s="20">
        <v>5</v>
      </c>
      <c r="O109" s="20">
        <f t="shared" si="22"/>
        <v>0</v>
      </c>
      <c r="P109" s="19">
        <v>0</v>
      </c>
      <c r="Q109" s="19">
        <v>0</v>
      </c>
      <c r="R109" s="21"/>
      <c r="S109" s="20">
        <v>5</v>
      </c>
      <c r="T109" s="20">
        <f t="shared" si="23"/>
        <v>0</v>
      </c>
      <c r="U109" s="19">
        <v>0</v>
      </c>
      <c r="V109" s="19">
        <v>0</v>
      </c>
      <c r="W109" s="21"/>
      <c r="X109" s="20">
        <v>5</v>
      </c>
      <c r="Y109" s="20">
        <f t="shared" si="24"/>
        <v>0</v>
      </c>
      <c r="Z109" s="19">
        <v>0</v>
      </c>
      <c r="AA109" s="43">
        <v>0</v>
      </c>
    </row>
    <row r="110" spans="1:27" outlineLevel="1" x14ac:dyDescent="0.2">
      <c r="D110" s="19" t="s">
        <v>16</v>
      </c>
      <c r="E110" s="19">
        <f>SUM(P113,K113)</f>
        <v>0</v>
      </c>
      <c r="F110" s="19">
        <f>SUM(Q113,L113)</f>
        <v>10</v>
      </c>
      <c r="G110" s="19">
        <f>SUM(E110:F110)</f>
        <v>10</v>
      </c>
      <c r="H110" s="21"/>
      <c r="I110" s="20">
        <v>6</v>
      </c>
      <c r="J110" s="20">
        <f t="shared" si="21"/>
        <v>0</v>
      </c>
      <c r="K110" s="19">
        <v>0</v>
      </c>
      <c r="L110" s="19">
        <v>0</v>
      </c>
      <c r="M110" s="33"/>
      <c r="N110" s="20">
        <v>6</v>
      </c>
      <c r="O110" s="20">
        <f t="shared" si="22"/>
        <v>0</v>
      </c>
      <c r="P110" s="19">
        <v>0</v>
      </c>
      <c r="Q110" s="19">
        <v>0</v>
      </c>
      <c r="R110" s="21"/>
      <c r="S110" s="20">
        <v>6</v>
      </c>
      <c r="T110" s="20">
        <f t="shared" si="23"/>
        <v>0</v>
      </c>
      <c r="U110" s="19">
        <v>0</v>
      </c>
      <c r="V110" s="19">
        <v>0</v>
      </c>
      <c r="W110" s="21"/>
      <c r="X110" s="20">
        <v>6</v>
      </c>
      <c r="Y110" s="20">
        <f t="shared" si="24"/>
        <v>0</v>
      </c>
      <c r="Z110" s="19">
        <v>0</v>
      </c>
      <c r="AA110" s="43">
        <v>0</v>
      </c>
    </row>
    <row r="111" spans="1:27" outlineLevel="1" x14ac:dyDescent="0.2">
      <c r="D111" s="19" t="s">
        <v>17</v>
      </c>
      <c r="E111" s="19">
        <v>0</v>
      </c>
      <c r="F111" s="19">
        <v>15</v>
      </c>
      <c r="G111" s="19">
        <f>SUM(E111:F111)</f>
        <v>15</v>
      </c>
      <c r="H111" s="21"/>
      <c r="I111" s="20">
        <v>7</v>
      </c>
      <c r="J111" s="20">
        <f t="shared" si="21"/>
        <v>0</v>
      </c>
      <c r="K111" s="19">
        <v>0</v>
      </c>
      <c r="L111" s="19">
        <v>0</v>
      </c>
      <c r="M111" s="33"/>
      <c r="N111" s="20">
        <v>7</v>
      </c>
      <c r="O111" s="20">
        <f t="shared" si="22"/>
        <v>0</v>
      </c>
      <c r="P111" s="19">
        <v>0</v>
      </c>
      <c r="Q111" s="19">
        <v>0</v>
      </c>
      <c r="R111" s="21"/>
      <c r="S111" s="20">
        <v>7</v>
      </c>
      <c r="T111" s="20">
        <f t="shared" si="23"/>
        <v>0</v>
      </c>
      <c r="U111" s="19">
        <v>0</v>
      </c>
      <c r="V111" s="19">
        <v>0</v>
      </c>
      <c r="W111" s="21"/>
      <c r="X111" s="20">
        <v>7</v>
      </c>
      <c r="Y111" s="20">
        <f t="shared" si="24"/>
        <v>0</v>
      </c>
      <c r="Z111" s="19">
        <v>0</v>
      </c>
      <c r="AA111" s="43">
        <v>0</v>
      </c>
    </row>
    <row r="112" spans="1:27" outlineLevel="1" x14ac:dyDescent="0.2">
      <c r="D112" s="19" t="s">
        <v>40</v>
      </c>
      <c r="E112" s="22"/>
      <c r="F112" s="22">
        <f>MIN(F110,F111)/MAX(F110,F111)</f>
        <v>0.66666666666666663</v>
      </c>
      <c r="G112" s="22">
        <f>MIN(G110,G111)/MAX(G110,G111)</f>
        <v>0.66666666666666663</v>
      </c>
      <c r="H112" s="21"/>
      <c r="I112" s="19" t="s">
        <v>10</v>
      </c>
      <c r="J112" s="20">
        <f t="shared" si="21"/>
        <v>1</v>
      </c>
      <c r="K112" s="19">
        <v>0</v>
      </c>
      <c r="L112" s="19">
        <v>1</v>
      </c>
      <c r="M112" s="33"/>
      <c r="N112" s="19" t="s">
        <v>10</v>
      </c>
      <c r="O112" s="20">
        <f t="shared" si="22"/>
        <v>0</v>
      </c>
      <c r="P112" s="19">
        <v>0</v>
      </c>
      <c r="Q112" s="19">
        <v>0</v>
      </c>
      <c r="R112" s="21"/>
      <c r="S112" s="19" t="s">
        <v>10</v>
      </c>
      <c r="T112" s="20">
        <f t="shared" si="23"/>
        <v>0</v>
      </c>
      <c r="U112" s="19">
        <v>0</v>
      </c>
      <c r="V112" s="19">
        <v>0</v>
      </c>
      <c r="W112" s="21"/>
      <c r="X112" s="19" t="s">
        <v>10</v>
      </c>
      <c r="Y112" s="20">
        <f t="shared" si="24"/>
        <v>0</v>
      </c>
      <c r="Z112" s="19">
        <v>0</v>
      </c>
      <c r="AA112" s="43">
        <v>0</v>
      </c>
    </row>
    <row r="113" spans="2:27" outlineLevel="1" x14ac:dyDescent="0.2">
      <c r="D113" s="38"/>
      <c r="E113" s="38"/>
      <c r="F113" s="38"/>
      <c r="G113" s="38"/>
      <c r="I113" s="19" t="s">
        <v>13</v>
      </c>
      <c r="J113" s="19">
        <f>(SUM(J105:J112))</f>
        <v>6</v>
      </c>
      <c r="K113" s="19">
        <f>(SUM(K105:K112))</f>
        <v>0</v>
      </c>
      <c r="L113" s="19">
        <f>(SUM(L105:L112))</f>
        <v>6</v>
      </c>
      <c r="M113" s="33"/>
      <c r="N113" s="19" t="s">
        <v>13</v>
      </c>
      <c r="O113" s="19">
        <f>(SUM(O105:O112))</f>
        <v>4</v>
      </c>
      <c r="P113" s="19">
        <f>(SUM(P105:P112))</f>
        <v>0</v>
      </c>
      <c r="Q113" s="19">
        <f>(SUM(Q105:Q112))</f>
        <v>4</v>
      </c>
      <c r="R113" s="21"/>
      <c r="S113" s="19" t="s">
        <v>13</v>
      </c>
      <c r="T113" s="19">
        <f>(SUM(T105:T112))</f>
        <v>17</v>
      </c>
      <c r="U113" s="19">
        <f>(SUM(U105:U112))</f>
        <v>0</v>
      </c>
      <c r="V113" s="19">
        <f>(SUM(V105:V112))</f>
        <v>17</v>
      </c>
      <c r="W113" s="21"/>
      <c r="X113" s="19" t="s">
        <v>13</v>
      </c>
      <c r="Y113" s="19">
        <f>(SUM(Y105:Y112))</f>
        <v>11</v>
      </c>
      <c r="Z113" s="19">
        <f>(SUM(Z105:Z112))</f>
        <v>0</v>
      </c>
      <c r="AA113" s="43">
        <f>(SUM(AA105:AA112))</f>
        <v>11</v>
      </c>
    </row>
    <row r="114" spans="2:27" outlineLevel="1" x14ac:dyDescent="0.2">
      <c r="I114" s="38"/>
      <c r="J114" s="38"/>
      <c r="K114" s="38"/>
      <c r="L114" s="38"/>
      <c r="M114" s="1"/>
      <c r="N114" s="38"/>
      <c r="O114" s="38"/>
      <c r="P114" s="38"/>
      <c r="Q114" s="38"/>
      <c r="S114" s="38"/>
      <c r="T114" s="38"/>
      <c r="U114" s="38"/>
      <c r="V114" s="38"/>
      <c r="X114" s="38"/>
      <c r="Y114" s="38"/>
      <c r="Z114" s="38"/>
      <c r="AA114" s="38"/>
    </row>
    <row r="115" spans="2:27" ht="16" thickBot="1" x14ac:dyDescent="0.25">
      <c r="B115" s="2"/>
      <c r="C115" s="1"/>
      <c r="D115" s="1"/>
      <c r="E115" s="1"/>
      <c r="F115" s="1"/>
      <c r="G115" s="1"/>
      <c r="H115" s="1"/>
      <c r="I115" s="1"/>
      <c r="J115" s="1"/>
      <c r="K115" s="1"/>
      <c r="L115" s="1"/>
      <c r="M115" s="1"/>
    </row>
    <row r="116" spans="2:27" outlineLevel="1" x14ac:dyDescent="0.2">
      <c r="B116" s="2"/>
      <c r="C116" s="1"/>
      <c r="D116" s="81" t="s">
        <v>55</v>
      </c>
      <c r="E116" s="82"/>
      <c r="F116" s="82"/>
      <c r="G116" s="82"/>
      <c r="H116" s="15"/>
      <c r="I116" s="1"/>
      <c r="J116" s="1"/>
      <c r="K116" s="1"/>
      <c r="L116" s="1"/>
      <c r="M116" s="1"/>
      <c r="N116" s="1"/>
      <c r="O116" s="1"/>
      <c r="P116" s="1"/>
      <c r="Q116" s="1"/>
      <c r="S116" s="1"/>
      <c r="T116" s="1"/>
      <c r="U116" s="1"/>
      <c r="V116" s="1"/>
      <c r="X116" s="1"/>
      <c r="Y116" s="1"/>
      <c r="Z116" s="1"/>
      <c r="AA116" s="1"/>
    </row>
    <row r="117" spans="2:27" ht="16" outlineLevel="1" x14ac:dyDescent="0.2">
      <c r="B117" s="2"/>
      <c r="C117" s="1"/>
      <c r="D117" s="18" t="s">
        <v>38</v>
      </c>
      <c r="E117" s="19" t="s">
        <v>60</v>
      </c>
      <c r="F117" s="20" t="s">
        <v>61</v>
      </c>
      <c r="G117" s="19" t="s">
        <v>43</v>
      </c>
      <c r="H117" s="15"/>
      <c r="M117" s="1"/>
    </row>
    <row r="118" spans="2:27" outlineLevel="1" x14ac:dyDescent="0.2">
      <c r="B118" s="2"/>
      <c r="C118" s="1"/>
      <c r="D118" s="18" t="s">
        <v>16</v>
      </c>
      <c r="E118" s="19">
        <f>SUM(E105,E91,E77,E63,E49,E35,E21,E7)</f>
        <v>28</v>
      </c>
      <c r="F118" s="19">
        <f>SUM(F105,F91,F77,F63,F49,F35,F21,F7)</f>
        <v>502</v>
      </c>
      <c r="G118" s="19">
        <f>SUM(E118:F118)</f>
        <v>530</v>
      </c>
      <c r="H118" s="15"/>
      <c r="J118" s="1"/>
      <c r="M118" s="1"/>
      <c r="O118" s="1"/>
      <c r="T118" s="1"/>
      <c r="Y118" s="1"/>
    </row>
    <row r="119" spans="2:27" outlineLevel="1" x14ac:dyDescent="0.2">
      <c r="B119" s="2"/>
      <c r="C119" s="1"/>
      <c r="D119" s="18" t="s">
        <v>17</v>
      </c>
      <c r="E119" s="19">
        <f>SUM(E106,E92,E78,E64,E50,E36,E22,E8)</f>
        <v>53</v>
      </c>
      <c r="F119" s="19">
        <f>SUM(F106,F92,F78,F64,F50,F36,F22,F8)</f>
        <v>511.3</v>
      </c>
      <c r="G119" s="19">
        <f>SUM(E119:F119)</f>
        <v>564.29999999999995</v>
      </c>
      <c r="H119" s="15"/>
      <c r="M119" s="1"/>
    </row>
    <row r="120" spans="2:27" outlineLevel="1" x14ac:dyDescent="0.2">
      <c r="B120" s="2"/>
      <c r="C120" s="1"/>
      <c r="D120" s="18" t="s">
        <v>40</v>
      </c>
      <c r="E120" s="22">
        <f>MIN(E118,E119)/MAX(E118,E119)</f>
        <v>0.52830188679245282</v>
      </c>
      <c r="F120" s="22">
        <f>MIN(F118,F119)/MAX(F118,F119)</f>
        <v>0.98181106982202226</v>
      </c>
      <c r="G120" s="22">
        <f>MIN(G118,G119)/MAX(G118,G119)</f>
        <v>0.93921672869041295</v>
      </c>
      <c r="H120" s="21"/>
    </row>
    <row r="121" spans="2:27" outlineLevel="1" x14ac:dyDescent="0.2">
      <c r="B121" s="2"/>
      <c r="C121" s="1"/>
      <c r="D121" s="18"/>
      <c r="E121" s="19"/>
      <c r="F121" s="19"/>
      <c r="G121" s="19"/>
      <c r="H121" s="15"/>
    </row>
    <row r="122" spans="2:27" ht="17" customHeight="1" outlineLevel="1" x14ac:dyDescent="0.2">
      <c r="B122" s="2"/>
      <c r="C122" s="1"/>
      <c r="D122" s="18" t="s">
        <v>39</v>
      </c>
      <c r="E122" s="20" t="s">
        <v>63</v>
      </c>
      <c r="F122" s="20" t="s">
        <v>64</v>
      </c>
      <c r="G122" s="19" t="s">
        <v>37</v>
      </c>
      <c r="H122" s="15"/>
    </row>
    <row r="123" spans="2:27" outlineLevel="1" x14ac:dyDescent="0.2">
      <c r="B123" s="2"/>
      <c r="C123" s="1"/>
      <c r="D123" s="18" t="s">
        <v>16</v>
      </c>
      <c r="E123" s="19">
        <f>SUM(E110,E96,E82,E68,E54,E40,E26,E12)</f>
        <v>27</v>
      </c>
      <c r="F123" s="19">
        <f>SUM(F110,F96,F82,F68,F54,F40,F26,F12)</f>
        <v>280</v>
      </c>
      <c r="G123" s="19">
        <f>SUM(E123:F123)</f>
        <v>307</v>
      </c>
      <c r="H123" s="15"/>
    </row>
    <row r="124" spans="2:27" outlineLevel="1" x14ac:dyDescent="0.2">
      <c r="B124" s="2"/>
      <c r="C124" s="1"/>
      <c r="D124" s="18" t="s">
        <v>17</v>
      </c>
      <c r="E124" s="19">
        <f>SUM(E111,E97,E83,E69,E55,E41,E27,E13)</f>
        <v>24</v>
      </c>
      <c r="F124" s="19">
        <f>SUM(F111,F97,F83,F69,F55,F41,F27,F13)</f>
        <v>248</v>
      </c>
      <c r="G124" s="19">
        <f>SUM(E124:F124)</f>
        <v>272</v>
      </c>
      <c r="H124" s="15"/>
    </row>
    <row r="125" spans="2:27" ht="16" outlineLevel="1" thickBot="1" x14ac:dyDescent="0.25">
      <c r="B125" s="2"/>
      <c r="C125" s="1"/>
      <c r="D125" s="18" t="s">
        <v>40</v>
      </c>
      <c r="E125" s="22">
        <f>MIN(E123,E124)/MAX(E123,E124)</f>
        <v>0.88888888888888884</v>
      </c>
      <c r="F125" s="22">
        <f>MIN(F123,F124)/MAX(F123,F124)</f>
        <v>0.88571428571428568</v>
      </c>
      <c r="G125" s="22">
        <f>MIN(G123,G124)/MAX(G123,G124)</f>
        <v>0.88599348534201949</v>
      </c>
      <c r="H125" s="15"/>
    </row>
    <row r="126" spans="2:27" outlineLevel="1" x14ac:dyDescent="0.2">
      <c r="B126" s="2"/>
      <c r="C126" s="1"/>
      <c r="D126" s="25"/>
      <c r="E126" s="25"/>
      <c r="F126" s="25"/>
      <c r="G126" s="25"/>
    </row>
    <row r="127" spans="2:27" outlineLevel="1" x14ac:dyDescent="0.2">
      <c r="B127" s="2"/>
      <c r="C127" s="1"/>
    </row>
    <row r="128" spans="2:27" x14ac:dyDescent="0.2">
      <c r="B128" s="2"/>
      <c r="C128" s="1"/>
    </row>
    <row r="129" spans="2:5" x14ac:dyDescent="0.2">
      <c r="B129" s="2"/>
      <c r="C129" s="1"/>
    </row>
    <row r="130" spans="2:5" outlineLevel="1" x14ac:dyDescent="0.2">
      <c r="B130" s="2"/>
      <c r="C130" s="1"/>
    </row>
    <row r="131" spans="2:5" outlineLevel="1" x14ac:dyDescent="0.2">
      <c r="B131" s="2"/>
      <c r="C131" s="1"/>
    </row>
    <row r="132" spans="2:5" outlineLevel="1" x14ac:dyDescent="0.2">
      <c r="B132" s="2"/>
      <c r="C132" s="1"/>
    </row>
    <row r="133" spans="2:5" outlineLevel="1" x14ac:dyDescent="0.2">
      <c r="B133" s="2"/>
      <c r="C133" s="1"/>
      <c r="D133" s="6" t="s">
        <v>14</v>
      </c>
      <c r="E133" s="6">
        <v>1</v>
      </c>
    </row>
    <row r="134" spans="2:5" outlineLevel="1" x14ac:dyDescent="0.2">
      <c r="B134" s="2"/>
      <c r="C134" s="1"/>
      <c r="D134" s="6" t="s">
        <v>15</v>
      </c>
      <c r="E134" s="6">
        <v>2</v>
      </c>
    </row>
    <row r="135" spans="2:5" outlineLevel="1" x14ac:dyDescent="0.2">
      <c r="B135" s="2"/>
      <c r="C135" s="1"/>
      <c r="E135" s="6">
        <v>3</v>
      </c>
    </row>
    <row r="136" spans="2:5" outlineLevel="1" x14ac:dyDescent="0.2">
      <c r="B136" s="2"/>
      <c r="C136" s="1"/>
      <c r="E136" s="6">
        <v>4</v>
      </c>
    </row>
    <row r="137" spans="2:5" outlineLevel="1" x14ac:dyDescent="0.2">
      <c r="B137" s="2"/>
      <c r="C137" s="1"/>
      <c r="E137" s="6">
        <v>5</v>
      </c>
    </row>
    <row r="138" spans="2:5" outlineLevel="1" x14ac:dyDescent="0.2">
      <c r="B138" s="2"/>
      <c r="C138" s="1"/>
      <c r="E138" s="6">
        <v>6</v>
      </c>
    </row>
    <row r="139" spans="2:5" outlineLevel="1" x14ac:dyDescent="0.2">
      <c r="B139" s="2"/>
      <c r="C139" s="1"/>
      <c r="E139" s="6">
        <v>7</v>
      </c>
    </row>
    <row r="140" spans="2:5" outlineLevel="1" x14ac:dyDescent="0.2">
      <c r="B140" s="2"/>
      <c r="C140" s="1"/>
      <c r="E140" s="6">
        <v>8</v>
      </c>
    </row>
    <row r="141" spans="2:5" outlineLevel="1" x14ac:dyDescent="0.2">
      <c r="B141" s="2"/>
      <c r="C141" s="1"/>
      <c r="E141" s="6">
        <v>9</v>
      </c>
    </row>
    <row r="142" spans="2:5" x14ac:dyDescent="0.2">
      <c r="B142" s="2"/>
      <c r="C142" s="1"/>
      <c r="E142" s="6">
        <v>10</v>
      </c>
    </row>
    <row r="143" spans="2:5" x14ac:dyDescent="0.2">
      <c r="B143" s="2"/>
      <c r="C143" s="1"/>
      <c r="E143" s="6">
        <v>11</v>
      </c>
    </row>
    <row r="144" spans="2:5" outlineLevel="1" x14ac:dyDescent="0.2">
      <c r="B144" s="2"/>
      <c r="C144" s="1"/>
      <c r="E144" s="6">
        <v>12</v>
      </c>
    </row>
    <row r="145" spans="2:3" outlineLevel="1" x14ac:dyDescent="0.2">
      <c r="B145" s="2"/>
      <c r="C145" s="1"/>
    </row>
    <row r="146" spans="2:3" outlineLevel="1" x14ac:dyDescent="0.2">
      <c r="B146" s="2"/>
      <c r="C146" s="1"/>
    </row>
    <row r="147" spans="2:3" outlineLevel="1" x14ac:dyDescent="0.2">
      <c r="B147" s="2"/>
      <c r="C147" s="1"/>
    </row>
    <row r="148" spans="2:3" outlineLevel="1" x14ac:dyDescent="0.2">
      <c r="B148" s="2"/>
      <c r="C148" s="1"/>
    </row>
    <row r="149" spans="2:3" outlineLevel="1" x14ac:dyDescent="0.2">
      <c r="B149" s="2"/>
      <c r="C149" s="1"/>
    </row>
    <row r="150" spans="2:3" outlineLevel="1" x14ac:dyDescent="0.2">
      <c r="B150" s="2"/>
      <c r="C150" s="1"/>
    </row>
    <row r="151" spans="2:3" outlineLevel="1" x14ac:dyDescent="0.2">
      <c r="B151" s="2"/>
      <c r="C151" s="1"/>
    </row>
    <row r="152" spans="2:3" outlineLevel="1" x14ac:dyDescent="0.2">
      <c r="B152" s="2"/>
      <c r="C152" s="1"/>
    </row>
    <row r="153" spans="2:3" outlineLevel="1" x14ac:dyDescent="0.2">
      <c r="B153" s="2"/>
      <c r="C153" s="1"/>
    </row>
    <row r="154" spans="2:3" outlineLevel="1" x14ac:dyDescent="0.2">
      <c r="B154" s="2"/>
      <c r="C154" s="1"/>
    </row>
    <row r="155" spans="2:3" outlineLevel="1" x14ac:dyDescent="0.2">
      <c r="B155" s="2"/>
      <c r="C155" s="1"/>
    </row>
    <row r="156" spans="2:3" x14ac:dyDescent="0.2">
      <c r="B156" s="2"/>
      <c r="C156" s="1"/>
    </row>
    <row r="157" spans="2:3" x14ac:dyDescent="0.2">
      <c r="B157" s="2"/>
      <c r="C157" s="1"/>
    </row>
    <row r="158" spans="2:3" outlineLevel="1" x14ac:dyDescent="0.2">
      <c r="B158" s="2"/>
      <c r="C158" s="1"/>
    </row>
    <row r="159" spans="2:3" outlineLevel="1" x14ac:dyDescent="0.2">
      <c r="B159" s="2"/>
      <c r="C159" s="1"/>
    </row>
    <row r="160" spans="2:3" outlineLevel="1" x14ac:dyDescent="0.2">
      <c r="B160" s="2"/>
      <c r="C160" s="1"/>
    </row>
    <row r="161" spans="2:3" outlineLevel="1" x14ac:dyDescent="0.2">
      <c r="B161" s="2"/>
      <c r="C161" s="1"/>
    </row>
    <row r="162" spans="2:3" outlineLevel="1" x14ac:dyDescent="0.2">
      <c r="B162" s="2"/>
      <c r="C162" s="1"/>
    </row>
    <row r="163" spans="2:3" outlineLevel="1" x14ac:dyDescent="0.2">
      <c r="B163" s="2"/>
      <c r="C163" s="1"/>
    </row>
    <row r="164" spans="2:3" outlineLevel="1" x14ac:dyDescent="0.2">
      <c r="B164" s="2"/>
      <c r="C164" s="1"/>
    </row>
    <row r="165" spans="2:3" outlineLevel="1" x14ac:dyDescent="0.2">
      <c r="B165" s="2"/>
      <c r="C165" s="1"/>
    </row>
    <row r="166" spans="2:3" outlineLevel="1" x14ac:dyDescent="0.2">
      <c r="B166" s="2"/>
      <c r="C166" s="1"/>
    </row>
    <row r="167" spans="2:3" outlineLevel="1" x14ac:dyDescent="0.2">
      <c r="B167" s="2"/>
      <c r="C167" s="1"/>
    </row>
    <row r="168" spans="2:3" outlineLevel="1" x14ac:dyDescent="0.2">
      <c r="B168" s="2"/>
      <c r="C168" s="1"/>
    </row>
    <row r="169" spans="2:3" outlineLevel="1" x14ac:dyDescent="0.2">
      <c r="B169" s="2"/>
      <c r="C169" s="1"/>
    </row>
    <row r="170" spans="2:3" x14ac:dyDescent="0.2">
      <c r="B170" s="2"/>
      <c r="C170" s="1"/>
    </row>
    <row r="171" spans="2:3" x14ac:dyDescent="0.2">
      <c r="B171" s="2"/>
      <c r="C171" s="1"/>
    </row>
    <row r="172" spans="2:3" outlineLevel="1" x14ac:dyDescent="0.2">
      <c r="B172" s="2"/>
      <c r="C172" s="1"/>
    </row>
    <row r="173" spans="2:3" outlineLevel="1" x14ac:dyDescent="0.2">
      <c r="B173" s="2"/>
      <c r="C173" s="1"/>
    </row>
    <row r="174" spans="2:3" outlineLevel="1" x14ac:dyDescent="0.2">
      <c r="B174" s="2"/>
      <c r="C174" s="1"/>
    </row>
    <row r="175" spans="2:3" outlineLevel="1" x14ac:dyDescent="0.2">
      <c r="B175" s="2"/>
      <c r="C175" s="1"/>
    </row>
    <row r="176" spans="2:3" outlineLevel="1" x14ac:dyDescent="0.2">
      <c r="B176" s="2"/>
      <c r="C176" s="1"/>
    </row>
    <row r="177" spans="1:3" outlineLevel="1" x14ac:dyDescent="0.2">
      <c r="B177" s="2"/>
      <c r="C177" s="1"/>
    </row>
    <row r="178" spans="1:3" outlineLevel="1" x14ac:dyDescent="0.2">
      <c r="B178" s="2"/>
      <c r="C178" s="1"/>
    </row>
    <row r="179" spans="1:3" outlineLevel="1" x14ac:dyDescent="0.2">
      <c r="B179" s="2"/>
      <c r="C179" s="1"/>
    </row>
    <row r="180" spans="1:3" outlineLevel="1" x14ac:dyDescent="0.2">
      <c r="B180" s="2"/>
      <c r="C180" s="1"/>
    </row>
    <row r="181" spans="1:3" outlineLevel="1" x14ac:dyDescent="0.2">
      <c r="B181" s="2"/>
      <c r="C181" s="1"/>
    </row>
    <row r="182" spans="1:3" outlineLevel="1" x14ac:dyDescent="0.2">
      <c r="B182" s="2"/>
      <c r="C182" s="1"/>
    </row>
    <row r="183" spans="1:3" outlineLevel="1" x14ac:dyDescent="0.2">
      <c r="B183" s="2"/>
      <c r="C183" s="1"/>
    </row>
    <row r="184" spans="1:3" x14ac:dyDescent="0.2">
      <c r="B184" s="2"/>
      <c r="C184" s="1"/>
    </row>
    <row r="185" spans="1:3" x14ac:dyDescent="0.2">
      <c r="B185" s="2"/>
      <c r="C185" s="1"/>
    </row>
    <row r="186" spans="1:3" x14ac:dyDescent="0.2">
      <c r="B186" s="2"/>
      <c r="C186" s="1"/>
    </row>
    <row r="187" spans="1:3" ht="32" outlineLevel="1" x14ac:dyDescent="0.2">
      <c r="A187" s="1" t="s">
        <v>22</v>
      </c>
      <c r="B187" s="2">
        <v>28</v>
      </c>
      <c r="C187" s="1"/>
    </row>
    <row r="188" spans="1:3" outlineLevel="1" x14ac:dyDescent="0.2">
      <c r="B188" s="2"/>
      <c r="C188" s="1"/>
    </row>
    <row r="189" spans="1:3" outlineLevel="1" x14ac:dyDescent="0.2">
      <c r="B189" s="2"/>
      <c r="C189" s="1"/>
    </row>
    <row r="190" spans="1:3" outlineLevel="1" x14ac:dyDescent="0.2">
      <c r="B190" s="2"/>
      <c r="C190" s="1"/>
    </row>
    <row r="191" spans="1:3" outlineLevel="1" x14ac:dyDescent="0.2">
      <c r="B191" s="2"/>
      <c r="C191" s="1"/>
    </row>
    <row r="192" spans="1:3" outlineLevel="1" x14ac:dyDescent="0.2">
      <c r="B192" s="2"/>
      <c r="C192" s="1"/>
    </row>
    <row r="193" spans="2:3" outlineLevel="1" x14ac:dyDescent="0.2">
      <c r="B193" s="2"/>
      <c r="C193" s="1"/>
    </row>
    <row r="194" spans="2:3" outlineLevel="1" x14ac:dyDescent="0.2">
      <c r="B194" s="2"/>
      <c r="C194" s="1"/>
    </row>
    <row r="195" spans="2:3" outlineLevel="1" x14ac:dyDescent="0.2">
      <c r="B195" s="2"/>
      <c r="C195" s="1"/>
    </row>
    <row r="196" spans="2:3" outlineLevel="1" x14ac:dyDescent="0.2">
      <c r="B196" s="2"/>
      <c r="C196" s="1"/>
    </row>
    <row r="197" spans="2:3" outlineLevel="1" x14ac:dyDescent="0.2">
      <c r="B197" s="2"/>
      <c r="C197" s="1"/>
    </row>
    <row r="198" spans="2:3" outlineLevel="1" x14ac:dyDescent="0.2">
      <c r="B198" s="2"/>
      <c r="C198" s="1"/>
    </row>
    <row r="199" spans="2:3" x14ac:dyDescent="0.2">
      <c r="B199" s="2"/>
      <c r="C199" s="1"/>
    </row>
    <row r="200" spans="2:3" x14ac:dyDescent="0.2">
      <c r="B200" s="2"/>
      <c r="C200" s="1"/>
    </row>
    <row r="201" spans="2:3" outlineLevel="1" x14ac:dyDescent="0.2">
      <c r="B201" s="2">
        <v>30</v>
      </c>
      <c r="C201" s="1"/>
    </row>
    <row r="202" spans="2:3" outlineLevel="1" x14ac:dyDescent="0.2">
      <c r="B202" s="2"/>
      <c r="C202" s="1"/>
    </row>
    <row r="203" spans="2:3" outlineLevel="1" x14ac:dyDescent="0.2">
      <c r="B203" s="2"/>
      <c r="C203" s="1"/>
    </row>
    <row r="204" spans="2:3" outlineLevel="1" x14ac:dyDescent="0.2">
      <c r="B204" s="2"/>
      <c r="C204" s="1"/>
    </row>
    <row r="205" spans="2:3" outlineLevel="1" x14ac:dyDescent="0.2">
      <c r="B205" s="2"/>
      <c r="C205" s="1"/>
    </row>
    <row r="206" spans="2:3" outlineLevel="1" x14ac:dyDescent="0.2">
      <c r="B206" s="2"/>
      <c r="C206" s="1"/>
    </row>
    <row r="207" spans="2:3" outlineLevel="1" x14ac:dyDescent="0.2">
      <c r="B207" s="2"/>
      <c r="C207" s="1"/>
    </row>
    <row r="208" spans="2:3" outlineLevel="1" x14ac:dyDescent="0.2">
      <c r="B208" s="2"/>
      <c r="C208" s="1"/>
    </row>
    <row r="209" spans="2:3" outlineLevel="1" x14ac:dyDescent="0.2">
      <c r="B209" s="2"/>
      <c r="C209" s="1"/>
    </row>
    <row r="210" spans="2:3" outlineLevel="1" x14ac:dyDescent="0.2">
      <c r="B210" s="2"/>
      <c r="C210" s="1"/>
    </row>
    <row r="211" spans="2:3" outlineLevel="1" x14ac:dyDescent="0.2"/>
    <row r="212" spans="2:3" outlineLevel="2" x14ac:dyDescent="0.2"/>
    <row r="213" spans="2:3" outlineLevel="1" x14ac:dyDescent="0.2"/>
    <row r="214" spans="2:3" outlineLevel="1" x14ac:dyDescent="0.2"/>
    <row r="215" spans="2:3" outlineLevel="1" x14ac:dyDescent="0.2"/>
    <row r="216" spans="2:3" outlineLevel="1" x14ac:dyDescent="0.2"/>
    <row r="217" spans="2:3" outlineLevel="1" x14ac:dyDescent="0.2"/>
    <row r="218" spans="2:3" outlineLevel="1" x14ac:dyDescent="0.2"/>
    <row r="219" spans="2:3" outlineLevel="1" x14ac:dyDescent="0.2"/>
    <row r="220" spans="2:3" outlineLevel="1" x14ac:dyDescent="0.2"/>
    <row r="221" spans="2:3" outlineLevel="1" x14ac:dyDescent="0.2"/>
    <row r="222" spans="2:3" outlineLevel="1" x14ac:dyDescent="0.2"/>
    <row r="223" spans="2:3" ht="16" customHeight="1" outlineLevel="1" x14ac:dyDescent="0.2"/>
    <row r="226" outlineLevel="1" x14ac:dyDescent="0.2"/>
    <row r="227" outlineLevel="1" x14ac:dyDescent="0.2"/>
    <row r="228" outlineLevel="1" x14ac:dyDescent="0.2"/>
    <row r="229" outlineLevel="1" x14ac:dyDescent="0.2"/>
    <row r="230" outlineLevel="1" x14ac:dyDescent="0.2"/>
    <row r="231" outlineLevel="1" x14ac:dyDescent="0.2"/>
    <row r="232" outlineLevel="1" x14ac:dyDescent="0.2"/>
    <row r="233" outlineLevel="1" x14ac:dyDescent="0.2"/>
    <row r="234" outlineLevel="1" x14ac:dyDescent="0.2"/>
    <row r="235" outlineLevel="1" x14ac:dyDescent="0.2"/>
    <row r="236" outlineLevel="1" x14ac:dyDescent="0.2"/>
    <row r="237" outlineLevel="1" x14ac:dyDescent="0.2"/>
    <row r="241" spans="2:3" outlineLevel="1" x14ac:dyDescent="0.2"/>
    <row r="242" spans="2:3" outlineLevel="1" x14ac:dyDescent="0.2"/>
    <row r="243" spans="2:3" outlineLevel="1" x14ac:dyDescent="0.2"/>
    <row r="244" spans="2:3" outlineLevel="1" x14ac:dyDescent="0.2"/>
    <row r="245" spans="2:3" outlineLevel="1" x14ac:dyDescent="0.2"/>
    <row r="246" spans="2:3" outlineLevel="1" x14ac:dyDescent="0.2"/>
    <row r="247" spans="2:3" outlineLevel="1" x14ac:dyDescent="0.2"/>
    <row r="248" spans="2:3" outlineLevel="1" x14ac:dyDescent="0.2"/>
    <row r="249" spans="2:3" outlineLevel="1" x14ac:dyDescent="0.2"/>
    <row r="250" spans="2:3" outlineLevel="1" x14ac:dyDescent="0.2">
      <c r="B250" s="2"/>
      <c r="C250" s="1"/>
    </row>
    <row r="251" spans="2:3" outlineLevel="1" x14ac:dyDescent="0.2">
      <c r="B251" s="2"/>
      <c r="C251" s="1"/>
    </row>
    <row r="252" spans="2:3" outlineLevel="1" x14ac:dyDescent="0.2"/>
    <row r="256" spans="2:3" outlineLevel="1" x14ac:dyDescent="0.2"/>
    <row r="257" outlineLevel="1" x14ac:dyDescent="0.2"/>
    <row r="258" outlineLevel="1" x14ac:dyDescent="0.2"/>
    <row r="259" outlineLevel="1" x14ac:dyDescent="0.2"/>
    <row r="260" outlineLevel="1" x14ac:dyDescent="0.2"/>
    <row r="261" outlineLevel="1" x14ac:dyDescent="0.2"/>
    <row r="262" outlineLevel="1" x14ac:dyDescent="0.2"/>
    <row r="263" outlineLevel="1" x14ac:dyDescent="0.2"/>
    <row r="264" outlineLevel="1" x14ac:dyDescent="0.2"/>
    <row r="265" outlineLevel="1" x14ac:dyDescent="0.2"/>
    <row r="266" outlineLevel="1" x14ac:dyDescent="0.2"/>
    <row r="267" outlineLevel="1" x14ac:dyDescent="0.2"/>
    <row r="271" outlineLevel="1" x14ac:dyDescent="0.2"/>
    <row r="272" outlineLevel="1" x14ac:dyDescent="0.2"/>
    <row r="273" outlineLevel="1" x14ac:dyDescent="0.2"/>
    <row r="274" outlineLevel="1" x14ac:dyDescent="0.2"/>
    <row r="275" outlineLevel="1" x14ac:dyDescent="0.2"/>
    <row r="276" outlineLevel="1" x14ac:dyDescent="0.2"/>
    <row r="277" outlineLevel="1" x14ac:dyDescent="0.2"/>
    <row r="278" outlineLevel="1" x14ac:dyDescent="0.2"/>
    <row r="279" outlineLevel="1" x14ac:dyDescent="0.2"/>
    <row r="280" outlineLevel="1" x14ac:dyDescent="0.2"/>
    <row r="281" outlineLevel="1" x14ac:dyDescent="0.2"/>
    <row r="282" outlineLevel="1" x14ac:dyDescent="0.2"/>
    <row r="286" outlineLevel="1" x14ac:dyDescent="0.2"/>
    <row r="287" outlineLevel="1" x14ac:dyDescent="0.2"/>
    <row r="288" outlineLevel="1" x14ac:dyDescent="0.2"/>
    <row r="289" outlineLevel="1" x14ac:dyDescent="0.2"/>
    <row r="290" outlineLevel="1" x14ac:dyDescent="0.2"/>
    <row r="291" outlineLevel="1" x14ac:dyDescent="0.2"/>
    <row r="292" outlineLevel="1" x14ac:dyDescent="0.2"/>
    <row r="293" outlineLevel="1" x14ac:dyDescent="0.2"/>
    <row r="294" outlineLevel="1" x14ac:dyDescent="0.2"/>
    <row r="295" outlineLevel="1" x14ac:dyDescent="0.2"/>
    <row r="296" outlineLevel="1" x14ac:dyDescent="0.2"/>
    <row r="297" outlineLevel="1" x14ac:dyDescent="0.2"/>
    <row r="300" outlineLevel="1" x14ac:dyDescent="0.2"/>
    <row r="301" outlineLevel="1" x14ac:dyDescent="0.2"/>
    <row r="302" outlineLevel="1" x14ac:dyDescent="0.2"/>
    <row r="303" outlineLevel="1" x14ac:dyDescent="0.2"/>
    <row r="304" outlineLevel="1" x14ac:dyDescent="0.2"/>
    <row r="305" outlineLevel="1" x14ac:dyDescent="0.2"/>
    <row r="306" outlineLevel="1" x14ac:dyDescent="0.2"/>
    <row r="307" outlineLevel="1" x14ac:dyDescent="0.2"/>
    <row r="308" outlineLevel="1" x14ac:dyDescent="0.2"/>
    <row r="309" outlineLevel="1" x14ac:dyDescent="0.2"/>
    <row r="310" outlineLevel="1" x14ac:dyDescent="0.2"/>
    <row r="311" outlineLevel="1" x14ac:dyDescent="0.2"/>
    <row r="314" outlineLevel="1" x14ac:dyDescent="0.2"/>
    <row r="315" outlineLevel="1" x14ac:dyDescent="0.2"/>
    <row r="316" outlineLevel="1" x14ac:dyDescent="0.2"/>
    <row r="317" outlineLevel="1" x14ac:dyDescent="0.2"/>
    <row r="318" outlineLevel="1" x14ac:dyDescent="0.2"/>
    <row r="319" outlineLevel="1" x14ac:dyDescent="0.2"/>
    <row r="320" outlineLevel="1" x14ac:dyDescent="0.2"/>
    <row r="321" outlineLevel="1" x14ac:dyDescent="0.2"/>
    <row r="322" outlineLevel="1" x14ac:dyDescent="0.2"/>
    <row r="323" outlineLevel="1" x14ac:dyDescent="0.2"/>
    <row r="324" outlineLevel="1" x14ac:dyDescent="0.2"/>
    <row r="325" outlineLevel="1" x14ac:dyDescent="0.2"/>
    <row r="343" spans="2:2" x14ac:dyDescent="0.2">
      <c r="B343" s="8" t="s">
        <v>5</v>
      </c>
    </row>
    <row r="344" spans="2:2" x14ac:dyDescent="0.2">
      <c r="B344" s="8" t="s">
        <v>6</v>
      </c>
    </row>
    <row r="345" spans="2:2" x14ac:dyDescent="0.2">
      <c r="B345" s="8" t="s">
        <v>7</v>
      </c>
    </row>
    <row r="346" spans="2:2" x14ac:dyDescent="0.2">
      <c r="B346" s="8" t="s">
        <v>8</v>
      </c>
    </row>
  </sheetData>
  <mergeCells count="6">
    <mergeCell ref="Z1:AA1"/>
    <mergeCell ref="D116:G116"/>
    <mergeCell ref="B22:B23"/>
    <mergeCell ref="B92:B93"/>
    <mergeCell ref="B106:B107"/>
    <mergeCell ref="B41:B42"/>
  </mergeCells>
  <conditionalFormatting sqref="E9:G9">
    <cfRule type="colorScale" priority="14">
      <colorScale>
        <cfvo type="num" val="0"/>
        <cfvo type="num" val="0.75"/>
        <cfvo type="num" val="1"/>
        <color rgb="FFFF7128"/>
        <color rgb="FFFFEB84"/>
        <color theme="9" tint="-0.249977111117893"/>
      </colorScale>
    </cfRule>
  </conditionalFormatting>
  <conditionalFormatting sqref="E14:G14">
    <cfRule type="colorScale" priority="7">
      <colorScale>
        <cfvo type="num" val="0"/>
        <cfvo type="num" val="0.75"/>
        <cfvo type="num" val="1"/>
        <color rgb="FFFF7128"/>
        <color rgb="FFFFEB84"/>
        <color theme="9" tint="-0.249977111117893"/>
      </colorScale>
    </cfRule>
  </conditionalFormatting>
  <conditionalFormatting sqref="E93:G93">
    <cfRule type="colorScale" priority="11">
      <colorScale>
        <cfvo type="num" val="0"/>
        <cfvo type="num" val="0.75"/>
        <cfvo type="num" val="1"/>
        <color rgb="FFFF7128"/>
        <color rgb="FFFFEB84"/>
        <color theme="9" tint="-0.249977111117893"/>
      </colorScale>
    </cfRule>
  </conditionalFormatting>
  <conditionalFormatting sqref="E98:G98">
    <cfRule type="colorScale" priority="4">
      <colorScale>
        <cfvo type="num" val="0"/>
        <cfvo type="num" val="0.75"/>
        <cfvo type="num" val="1"/>
        <color rgb="FFFF7128"/>
        <color rgb="FFFFEB84"/>
        <color theme="9" tint="-0.249977111117893"/>
      </colorScale>
    </cfRule>
  </conditionalFormatting>
  <conditionalFormatting sqref="E120:G120">
    <cfRule type="colorScale" priority="2">
      <colorScale>
        <cfvo type="num" val="0"/>
        <cfvo type="num" val="0.75"/>
        <cfvo type="num" val="1"/>
        <color rgb="FFFF7128"/>
        <color rgb="FFFFEB84"/>
        <color theme="9" tint="-0.249977111117893"/>
      </colorScale>
    </cfRule>
  </conditionalFormatting>
  <conditionalFormatting sqref="E125:G125">
    <cfRule type="colorScale" priority="1">
      <colorScale>
        <cfvo type="num" val="0"/>
        <cfvo type="num" val="0.75"/>
        <cfvo type="num" val="1"/>
        <color rgb="FFFF7128"/>
        <color rgb="FFFFEB84"/>
        <color theme="9" tint="-0.249977111117893"/>
      </colorScale>
    </cfRule>
  </conditionalFormatting>
  <conditionalFormatting sqref="F23:G23">
    <cfRule type="colorScale" priority="15">
      <colorScale>
        <cfvo type="num" val="0"/>
        <cfvo type="num" val="0.75"/>
        <cfvo type="num" val="1"/>
        <color rgb="FFFF7128"/>
        <color rgb="FFFFEB84"/>
        <color theme="9" tint="-0.249977111117893"/>
      </colorScale>
    </cfRule>
  </conditionalFormatting>
  <conditionalFormatting sqref="F28:G28">
    <cfRule type="colorScale" priority="8">
      <colorScale>
        <cfvo type="num" val="0"/>
        <cfvo type="num" val="0.75"/>
        <cfvo type="num" val="1"/>
        <color rgb="FFFF7128"/>
        <color rgb="FFFFEB84"/>
        <color theme="9" tint="-0.249977111117893"/>
      </colorScale>
    </cfRule>
  </conditionalFormatting>
  <conditionalFormatting sqref="F37:G37">
    <cfRule type="colorScale" priority="16">
      <colorScale>
        <cfvo type="num" val="0"/>
        <cfvo type="num" val="0.75"/>
        <cfvo type="num" val="1"/>
        <color rgb="FFFF7128"/>
        <color rgb="FFFFEB84"/>
        <color theme="9" tint="-0.249977111117893"/>
      </colorScale>
    </cfRule>
  </conditionalFormatting>
  <conditionalFormatting sqref="F42:G42">
    <cfRule type="colorScale" priority="9">
      <colorScale>
        <cfvo type="num" val="0"/>
        <cfvo type="num" val="0.75"/>
        <cfvo type="num" val="1"/>
        <color rgb="FFFF7128"/>
        <color rgb="FFFFEB84"/>
        <color theme="9" tint="-0.249977111117893"/>
      </colorScale>
    </cfRule>
  </conditionalFormatting>
  <conditionalFormatting sqref="F51:G51">
    <cfRule type="colorScale" priority="17">
      <colorScale>
        <cfvo type="num" val="0"/>
        <cfvo type="num" val="0.75"/>
        <cfvo type="num" val="1"/>
        <color rgb="FFFF7128"/>
        <color rgb="FFFFEB84"/>
        <color theme="9" tint="-0.249977111117893"/>
      </colorScale>
    </cfRule>
  </conditionalFormatting>
  <conditionalFormatting sqref="F56:G56">
    <cfRule type="colorScale" priority="18">
      <colorScale>
        <cfvo type="num" val="0"/>
        <cfvo type="num" val="0.75"/>
        <cfvo type="num" val="1"/>
        <color rgb="FFFF7128"/>
        <color rgb="FFFFEB84"/>
        <color theme="9" tint="-0.249977111117893"/>
      </colorScale>
    </cfRule>
  </conditionalFormatting>
  <conditionalFormatting sqref="F65:G65">
    <cfRule type="colorScale" priority="13">
      <colorScale>
        <cfvo type="num" val="0"/>
        <cfvo type="num" val="0.75"/>
        <cfvo type="num" val="1"/>
        <color rgb="FFFF7128"/>
        <color rgb="FFFFEB84"/>
        <color theme="9" tint="-0.249977111117893"/>
      </colorScale>
    </cfRule>
  </conditionalFormatting>
  <conditionalFormatting sqref="F70:G70">
    <cfRule type="colorScale" priority="6">
      <colorScale>
        <cfvo type="num" val="0"/>
        <cfvo type="num" val="0.75"/>
        <cfvo type="num" val="1"/>
        <color rgb="FFFF7128"/>
        <color rgb="FFFFEB84"/>
        <color theme="9" tint="-0.249977111117893"/>
      </colorScale>
    </cfRule>
  </conditionalFormatting>
  <conditionalFormatting sqref="F79:G79">
    <cfRule type="colorScale" priority="12">
      <colorScale>
        <cfvo type="num" val="0"/>
        <cfvo type="num" val="0.75"/>
        <cfvo type="num" val="1"/>
        <color rgb="FFFF7128"/>
        <color rgb="FFFFEB84"/>
        <color theme="9" tint="-0.249977111117893"/>
      </colorScale>
    </cfRule>
  </conditionalFormatting>
  <conditionalFormatting sqref="F84:G84">
    <cfRule type="colorScale" priority="5">
      <colorScale>
        <cfvo type="num" val="0"/>
        <cfvo type="num" val="0.75"/>
        <cfvo type="num" val="1"/>
        <color rgb="FFFF7128"/>
        <color rgb="FFFFEB84"/>
        <color theme="9" tint="-0.249977111117893"/>
      </colorScale>
    </cfRule>
  </conditionalFormatting>
  <conditionalFormatting sqref="F107:G107">
    <cfRule type="colorScale" priority="10">
      <colorScale>
        <cfvo type="num" val="0"/>
        <cfvo type="num" val="0.75"/>
        <cfvo type="num" val="1"/>
        <color rgb="FFFF7128"/>
        <color rgb="FFFFEB84"/>
        <color theme="9" tint="-0.249977111117893"/>
      </colorScale>
    </cfRule>
  </conditionalFormatting>
  <conditionalFormatting sqref="F112:G112">
    <cfRule type="colorScale" priority="3">
      <colorScale>
        <cfvo type="num" val="0"/>
        <cfvo type="num" val="0.75"/>
        <cfvo type="num" val="1"/>
        <color rgb="FFFF7128"/>
        <color rgb="FFFFEB84"/>
        <color theme="9" tint="-0.249977111117893"/>
      </colorScale>
    </cfRule>
  </conditionalFormatting>
  <dataValidations count="3">
    <dataValidation type="list" allowBlank="1" showInputMessage="1" showErrorMessage="1" sqref="O116 Y102 T102 O102 J102 Y74 T74 O74 J74 Y60 T60 O60 J60 Y46 T46 O46 J46 Y88 T88 O88 J88 J116 Y18 T18 O18 J18 Y32 T32 O32 J32 Y116 T116 Y4 T4 O4 J4" xr:uid="{8994A367-6C5E-F044-AD57-443CB83494AF}">
      <formula1>$E$133:$E$144</formula1>
    </dataValidation>
    <dataValidation type="list" allowBlank="1" showInputMessage="1" showErrorMessage="1" sqref="Q116 AA102 V102 Q102 L102 AA74 V74 Q74 L74 AA60 V60 Q60 L60 AA46 V46 Q46 L46 AA88 V88 Q88 L88 L116 AA18 V18 Q18 L18 AA32 V32 Q32 L32 AA116 V116 AA4 V4 Q4 L4" xr:uid="{A853F37B-3180-C04E-A22B-0490332D3C35}">
      <formula1>$D$133:$D$134</formula1>
    </dataValidation>
    <dataValidation type="list" allowBlank="1" showInputMessage="1" showErrorMessage="1" sqref="T117 Y117 J89 O89 T89 Y89 J19 O19 T19 Y19 J33 O33 T33 Y33 J117 O117 J5 O5 T5 Y5 J47 O47 T47 Y47 J61 O61 T61 Y61 J75 O75 T75 Y75 J103 O103 T103 Y103" xr:uid="{F7DC14EA-B7E4-8B42-9141-18BE6D0D3175}">
      <formula1>$B$343:$B$346</formula1>
    </dataValidation>
  </dataValidations>
  <pageMargins left="0.7" right="0.7" top="0.78740157499999996" bottom="0.78740157499999996" header="0.3" footer="0.3"/>
  <pageSetup paperSize="9" scale="33"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1C856-BB2C-4A46-89EE-A1E3DFF9E50B}">
  <sheetPr>
    <pageSetUpPr fitToPage="1"/>
  </sheetPr>
  <dimension ref="A1:AA355"/>
  <sheetViews>
    <sheetView zoomScale="88" zoomScaleNormal="50" workbookViewId="0">
      <selection activeCell="B83" sqref="B83"/>
    </sheetView>
  </sheetViews>
  <sheetFormatPr baseColWidth="10" defaultRowHeight="15" outlineLevelRow="2" x14ac:dyDescent="0.2"/>
  <cols>
    <col min="1" max="1" width="12.33203125" style="1" customWidth="1"/>
    <col min="2" max="2" width="9.33203125" style="7" customWidth="1"/>
    <col min="3" max="3" width="3" style="6" customWidth="1"/>
    <col min="4" max="4" width="17" style="6" customWidth="1"/>
    <col min="5" max="5" width="8.5" style="6" customWidth="1"/>
    <col min="6" max="6" width="16" style="6" customWidth="1"/>
    <col min="7" max="7" width="12.33203125" style="6" customWidth="1"/>
    <col min="8" max="8" width="2.83203125" style="6" customWidth="1"/>
    <col min="9" max="9" width="11.83203125" style="6" customWidth="1"/>
    <col min="10" max="10" width="7.1640625" style="6" customWidth="1"/>
    <col min="11" max="11" width="9" style="6" customWidth="1"/>
    <col min="12" max="12" width="10.1640625" style="6" customWidth="1"/>
    <col min="13" max="13" width="2.6640625" style="6" customWidth="1"/>
    <col min="14" max="14" width="13.1640625" style="6" customWidth="1"/>
    <col min="15" max="15" width="7" style="6" customWidth="1"/>
    <col min="16" max="16" width="10" style="6" customWidth="1"/>
    <col min="17" max="17" width="10.83203125" style="6" customWidth="1"/>
    <col min="18" max="18" width="3.1640625" style="6" customWidth="1"/>
    <col min="19" max="19" width="13" style="6" customWidth="1"/>
    <col min="20" max="20" width="7.1640625" style="6" customWidth="1"/>
    <col min="21" max="21" width="8.83203125" style="6" customWidth="1"/>
    <col min="22" max="22" width="11.1640625" style="6" customWidth="1"/>
    <col min="23" max="23" width="3.1640625" style="6" customWidth="1"/>
    <col min="24" max="24" width="13" style="6" customWidth="1"/>
    <col min="25" max="25" width="7.5" style="6" customWidth="1"/>
    <col min="26" max="26" width="8.33203125" style="6" customWidth="1"/>
    <col min="27" max="27" width="10.1640625" style="6" customWidth="1"/>
    <col min="28" max="28" width="2.83203125" style="6" customWidth="1"/>
    <col min="29" max="29" width="11.33203125" style="6" customWidth="1"/>
    <col min="30" max="30" width="6.83203125" style="6" customWidth="1"/>
    <col min="31" max="31" width="7.83203125" style="6" customWidth="1"/>
    <col min="32" max="32" width="8.5" style="6" customWidth="1"/>
    <col min="33" max="33" width="3.1640625" style="6" customWidth="1"/>
    <col min="34" max="34" width="11.33203125" style="6" customWidth="1"/>
    <col min="35" max="35" width="7" style="6" customWidth="1"/>
    <col min="36" max="36" width="7.5" style="6" customWidth="1"/>
    <col min="37" max="37" width="8.1640625" style="6" customWidth="1"/>
    <col min="38" max="16384" width="10.83203125" style="6"/>
  </cols>
  <sheetData>
    <row r="1" spans="1:27" ht="31" customHeight="1" x14ac:dyDescent="0.2">
      <c r="A1" s="32" t="s">
        <v>0</v>
      </c>
      <c r="B1" s="40" t="s">
        <v>68</v>
      </c>
      <c r="C1" s="32"/>
      <c r="D1" s="32"/>
      <c r="E1" s="32"/>
      <c r="F1" s="32"/>
      <c r="G1" s="32"/>
      <c r="H1" s="32"/>
      <c r="I1" s="60"/>
      <c r="J1" s="32"/>
      <c r="K1" s="32"/>
      <c r="L1" s="32"/>
      <c r="M1" s="32"/>
      <c r="N1" s="32"/>
      <c r="O1" s="32"/>
      <c r="P1" s="32"/>
      <c r="Q1" s="32"/>
      <c r="R1" s="32"/>
      <c r="S1" s="32"/>
      <c r="T1" s="32"/>
      <c r="U1" s="32"/>
      <c r="V1" s="32"/>
      <c r="W1" s="32"/>
      <c r="X1" s="32"/>
      <c r="Y1" s="32"/>
      <c r="Z1" s="76" t="s">
        <v>84</v>
      </c>
      <c r="AA1" s="76"/>
    </row>
    <row r="2" spans="1:27" ht="15" customHeight="1" x14ac:dyDescent="0.2">
      <c r="B2" s="2"/>
      <c r="C2" s="1"/>
      <c r="D2" s="1"/>
      <c r="E2" s="1"/>
      <c r="F2" s="1"/>
      <c r="G2" s="1"/>
      <c r="H2" s="1"/>
      <c r="I2" s="1"/>
      <c r="J2" s="1"/>
      <c r="K2" s="1"/>
      <c r="L2" s="1"/>
      <c r="M2" s="1"/>
    </row>
    <row r="3" spans="1:27" ht="32" customHeight="1" x14ac:dyDescent="0.2">
      <c r="A3" s="1" t="s">
        <v>21</v>
      </c>
      <c r="B3" s="2">
        <v>35</v>
      </c>
      <c r="C3" s="1"/>
      <c r="D3" s="1"/>
      <c r="E3" s="1"/>
      <c r="F3" s="1"/>
      <c r="G3" s="1"/>
      <c r="H3" s="1"/>
      <c r="I3" s="1"/>
      <c r="J3" s="1"/>
      <c r="K3" s="1"/>
      <c r="L3" s="1"/>
      <c r="M3" s="1"/>
    </row>
    <row r="4" spans="1:27" ht="16" customHeight="1" outlineLevel="1" x14ac:dyDescent="0.2">
      <c r="I4" s="20" t="s">
        <v>77</v>
      </c>
      <c r="J4" s="20">
        <v>1</v>
      </c>
      <c r="K4" s="20" t="s">
        <v>12</v>
      </c>
      <c r="L4" s="20" t="s">
        <v>15</v>
      </c>
      <c r="M4" s="33"/>
      <c r="N4" s="20" t="s">
        <v>77</v>
      </c>
      <c r="O4" s="20">
        <v>2</v>
      </c>
      <c r="P4" s="20" t="s">
        <v>12</v>
      </c>
      <c r="Q4" s="20" t="s">
        <v>15</v>
      </c>
      <c r="R4" s="21"/>
      <c r="S4" s="20" t="s">
        <v>77</v>
      </c>
      <c r="T4" s="20">
        <v>3</v>
      </c>
      <c r="U4" s="20" t="s">
        <v>12</v>
      </c>
      <c r="V4" s="20" t="s">
        <v>14</v>
      </c>
      <c r="W4" s="21"/>
      <c r="X4" s="20" t="s">
        <v>77</v>
      </c>
      <c r="Y4" s="20">
        <v>4</v>
      </c>
      <c r="Z4" s="20" t="s">
        <v>12</v>
      </c>
      <c r="AA4" s="42" t="s">
        <v>14</v>
      </c>
    </row>
    <row r="5" spans="1:27" outlineLevel="1" x14ac:dyDescent="0.2">
      <c r="I5" s="19" t="s">
        <v>11</v>
      </c>
      <c r="J5" s="35" t="s">
        <v>5</v>
      </c>
      <c r="K5" s="19"/>
      <c r="L5" s="19"/>
      <c r="M5" s="33"/>
      <c r="N5" s="19" t="s">
        <v>11</v>
      </c>
      <c r="O5" s="35" t="s">
        <v>6</v>
      </c>
      <c r="P5" s="19"/>
      <c r="Q5" s="19"/>
      <c r="R5" s="21"/>
      <c r="S5" s="19" t="s">
        <v>11</v>
      </c>
      <c r="T5" s="35" t="s">
        <v>8</v>
      </c>
      <c r="U5" s="19"/>
      <c r="V5" s="19"/>
      <c r="W5" s="21"/>
      <c r="X5" s="19" t="s">
        <v>11</v>
      </c>
      <c r="Y5" s="35" t="s">
        <v>7</v>
      </c>
      <c r="Z5" s="19"/>
      <c r="AA5" s="43"/>
    </row>
    <row r="6" spans="1:27" ht="17" customHeight="1" outlineLevel="1" x14ac:dyDescent="0.2">
      <c r="D6" s="19"/>
      <c r="E6" s="19" t="s">
        <v>60</v>
      </c>
      <c r="F6" s="20" t="s">
        <v>61</v>
      </c>
      <c r="G6" s="19" t="s">
        <v>43</v>
      </c>
      <c r="H6" s="21"/>
      <c r="I6" s="20" t="s">
        <v>9</v>
      </c>
      <c r="J6" s="20" t="s">
        <v>66</v>
      </c>
      <c r="K6" s="20" t="s">
        <v>60</v>
      </c>
      <c r="L6" s="20" t="s">
        <v>62</v>
      </c>
      <c r="M6" s="33"/>
      <c r="N6" s="20" t="s">
        <v>9</v>
      </c>
      <c r="O6" s="20" t="s">
        <v>66</v>
      </c>
      <c r="P6" s="20" t="s">
        <v>60</v>
      </c>
      <c r="Q6" s="20" t="s">
        <v>62</v>
      </c>
      <c r="R6" s="21"/>
      <c r="S6" s="20" t="s">
        <v>9</v>
      </c>
      <c r="T6" s="20" t="s">
        <v>66</v>
      </c>
      <c r="U6" s="20" t="s">
        <v>60</v>
      </c>
      <c r="V6" s="20" t="s">
        <v>62</v>
      </c>
      <c r="W6" s="21"/>
      <c r="X6" s="20" t="s">
        <v>9</v>
      </c>
      <c r="Y6" s="20" t="s">
        <v>66</v>
      </c>
      <c r="Z6" s="20" t="s">
        <v>60</v>
      </c>
      <c r="AA6" s="42" t="s">
        <v>62</v>
      </c>
    </row>
    <row r="7" spans="1:27" outlineLevel="1" x14ac:dyDescent="0.2">
      <c r="D7" s="19" t="s">
        <v>16</v>
      </c>
      <c r="E7" s="19">
        <f>SUM(K15,P15,U15,Z15)</f>
        <v>7</v>
      </c>
      <c r="F7" s="19">
        <f>SUM(L15,Q15,V15,AA15)</f>
        <v>83</v>
      </c>
      <c r="G7" s="19">
        <f>SUM(E7:F7)</f>
        <v>90</v>
      </c>
      <c r="H7" s="21"/>
      <c r="I7" s="20">
        <v>1</v>
      </c>
      <c r="J7" s="20">
        <f>SUM(K7,L7)</f>
        <v>7</v>
      </c>
      <c r="K7" s="20">
        <v>0</v>
      </c>
      <c r="L7" s="20">
        <v>7</v>
      </c>
      <c r="M7" s="33"/>
      <c r="N7" s="20">
        <v>1</v>
      </c>
      <c r="O7" s="20">
        <f>SUM(P7,Q7)</f>
        <v>9</v>
      </c>
      <c r="P7" s="20">
        <v>0</v>
      </c>
      <c r="Q7" s="20">
        <v>9</v>
      </c>
      <c r="R7" s="21"/>
      <c r="S7" s="20">
        <v>1</v>
      </c>
      <c r="T7" s="20">
        <f>SUM(U7,V7)</f>
        <v>0</v>
      </c>
      <c r="U7" s="20">
        <v>0</v>
      </c>
      <c r="V7" s="20">
        <v>0</v>
      </c>
      <c r="W7" s="21"/>
      <c r="X7" s="20">
        <v>1</v>
      </c>
      <c r="Y7" s="20">
        <f>SUM(Z7,AA7)</f>
        <v>2</v>
      </c>
      <c r="Z7" s="20">
        <v>0</v>
      </c>
      <c r="AA7" s="42">
        <v>2</v>
      </c>
    </row>
    <row r="8" spans="1:27" outlineLevel="1" x14ac:dyDescent="0.2">
      <c r="D8" s="19" t="s">
        <v>17</v>
      </c>
      <c r="E8" s="19">
        <v>10</v>
      </c>
      <c r="F8" s="19">
        <v>98.6</v>
      </c>
      <c r="G8" s="19">
        <f>SUM(E8:F8)</f>
        <v>108.6</v>
      </c>
      <c r="H8" s="21"/>
      <c r="I8" s="19">
        <v>2</v>
      </c>
      <c r="J8" s="20">
        <f t="shared" ref="J8:J14" si="0">SUM(K8,L8)</f>
        <v>8</v>
      </c>
      <c r="K8" s="19">
        <v>0</v>
      </c>
      <c r="L8" s="19">
        <v>8</v>
      </c>
      <c r="M8" s="33"/>
      <c r="N8" s="19">
        <v>2</v>
      </c>
      <c r="O8" s="20">
        <f t="shared" ref="O8:O14" si="1">SUM(P8,Q8)</f>
        <v>9</v>
      </c>
      <c r="P8" s="19">
        <v>0</v>
      </c>
      <c r="Q8" s="19">
        <v>9</v>
      </c>
      <c r="R8" s="21"/>
      <c r="S8" s="19">
        <v>2</v>
      </c>
      <c r="T8" s="20">
        <f t="shared" ref="T8:T14" si="2">SUM(U8,V8)</f>
        <v>4</v>
      </c>
      <c r="U8" s="19">
        <v>0</v>
      </c>
      <c r="V8" s="19">
        <v>4</v>
      </c>
      <c r="W8" s="21"/>
      <c r="X8" s="19">
        <v>2</v>
      </c>
      <c r="Y8" s="20">
        <f t="shared" ref="Y8:Y14" si="3">SUM(Z8,AA8)</f>
        <v>3</v>
      </c>
      <c r="Z8" s="19">
        <v>0</v>
      </c>
      <c r="AA8" s="43">
        <v>3</v>
      </c>
    </row>
    <row r="9" spans="1:27" outlineLevel="1" x14ac:dyDescent="0.2">
      <c r="D9" s="19" t="s">
        <v>40</v>
      </c>
      <c r="E9" s="22">
        <f>MIN(E7,E8)/MAX(E7,E8)</f>
        <v>0.7</v>
      </c>
      <c r="F9" s="22">
        <f>MIN(F7,F8)/MAX(F7,F8)</f>
        <v>0.8417849898580122</v>
      </c>
      <c r="G9" s="22">
        <f>MIN(G7,G8)/MAX(G7,G8)</f>
        <v>0.82872928176795579</v>
      </c>
      <c r="H9" s="21"/>
      <c r="I9" s="19">
        <v>3</v>
      </c>
      <c r="J9" s="20">
        <f t="shared" si="0"/>
        <v>8</v>
      </c>
      <c r="K9" s="19">
        <v>2</v>
      </c>
      <c r="L9" s="19">
        <v>6</v>
      </c>
      <c r="M9" s="33"/>
      <c r="N9" s="19">
        <v>3</v>
      </c>
      <c r="O9" s="20">
        <f t="shared" si="1"/>
        <v>9</v>
      </c>
      <c r="P9" s="19">
        <v>0</v>
      </c>
      <c r="Q9" s="19">
        <v>9</v>
      </c>
      <c r="R9" s="21"/>
      <c r="S9" s="19">
        <v>3</v>
      </c>
      <c r="T9" s="20">
        <f t="shared" si="2"/>
        <v>4</v>
      </c>
      <c r="U9" s="19">
        <v>0</v>
      </c>
      <c r="V9" s="19">
        <v>4</v>
      </c>
      <c r="W9" s="21"/>
      <c r="X9" s="19">
        <v>3</v>
      </c>
      <c r="Y9" s="20">
        <f t="shared" si="3"/>
        <v>3</v>
      </c>
      <c r="Z9" s="19">
        <v>0</v>
      </c>
      <c r="AA9" s="43">
        <v>3</v>
      </c>
    </row>
    <row r="10" spans="1:27" outlineLevel="1" x14ac:dyDescent="0.2">
      <c r="D10" s="38"/>
      <c r="E10" s="38"/>
      <c r="F10" s="38"/>
      <c r="G10" s="38"/>
      <c r="I10" s="20">
        <v>4</v>
      </c>
      <c r="J10" s="20">
        <f t="shared" si="0"/>
        <v>8</v>
      </c>
      <c r="K10" s="19">
        <v>1</v>
      </c>
      <c r="L10" s="19">
        <v>7</v>
      </c>
      <c r="M10" s="33"/>
      <c r="N10" s="20">
        <v>4</v>
      </c>
      <c r="O10" s="20">
        <f t="shared" si="1"/>
        <v>9</v>
      </c>
      <c r="P10" s="19">
        <v>2</v>
      </c>
      <c r="Q10" s="19">
        <v>7</v>
      </c>
      <c r="R10" s="21"/>
      <c r="S10" s="20">
        <v>4</v>
      </c>
      <c r="T10" s="20">
        <f t="shared" si="2"/>
        <v>4</v>
      </c>
      <c r="U10" s="19">
        <v>1</v>
      </c>
      <c r="V10" s="19">
        <v>3</v>
      </c>
      <c r="W10" s="21"/>
      <c r="X10" s="20">
        <v>4</v>
      </c>
      <c r="Y10" s="20">
        <f t="shared" si="3"/>
        <v>3</v>
      </c>
      <c r="Z10" s="19">
        <v>1</v>
      </c>
      <c r="AA10" s="43">
        <v>2</v>
      </c>
    </row>
    <row r="11" spans="1:27" ht="18" customHeight="1" outlineLevel="1" x14ac:dyDescent="0.2">
      <c r="D11" s="19" t="s">
        <v>0</v>
      </c>
      <c r="E11" s="20" t="s">
        <v>63</v>
      </c>
      <c r="F11" s="20" t="s">
        <v>64</v>
      </c>
      <c r="G11" s="19" t="s">
        <v>37</v>
      </c>
      <c r="H11" s="21"/>
      <c r="I11" s="20">
        <v>5</v>
      </c>
      <c r="J11" s="20">
        <f t="shared" si="0"/>
        <v>0</v>
      </c>
      <c r="K11" s="19"/>
      <c r="L11" s="19">
        <v>0</v>
      </c>
      <c r="M11" s="33"/>
      <c r="N11" s="20">
        <v>5</v>
      </c>
      <c r="O11" s="20">
        <f t="shared" si="1"/>
        <v>0</v>
      </c>
      <c r="P11" s="19"/>
      <c r="Q11" s="19">
        <v>0</v>
      </c>
      <c r="R11" s="21"/>
      <c r="S11" s="20">
        <v>5</v>
      </c>
      <c r="T11" s="20">
        <f t="shared" si="2"/>
        <v>0</v>
      </c>
      <c r="U11" s="19"/>
      <c r="V11" s="19">
        <v>0</v>
      </c>
      <c r="W11" s="21"/>
      <c r="X11" s="20">
        <v>5</v>
      </c>
      <c r="Y11" s="20">
        <f t="shared" si="3"/>
        <v>0</v>
      </c>
      <c r="Z11" s="19"/>
      <c r="AA11" s="43">
        <v>0</v>
      </c>
    </row>
    <row r="12" spans="1:27" outlineLevel="1" x14ac:dyDescent="0.2">
      <c r="D12" s="19" t="s">
        <v>16</v>
      </c>
      <c r="E12" s="19">
        <f>SUM(P15,K15)</f>
        <v>5</v>
      </c>
      <c r="F12" s="19">
        <f>SUM(Q15,L15)</f>
        <v>62</v>
      </c>
      <c r="G12" s="19">
        <f>SUM(E12:F12)</f>
        <v>67</v>
      </c>
      <c r="H12" s="21"/>
      <c r="I12" s="20">
        <v>6</v>
      </c>
      <c r="J12" s="20">
        <f t="shared" si="0"/>
        <v>0</v>
      </c>
      <c r="K12" s="19"/>
      <c r="L12" s="19">
        <v>0</v>
      </c>
      <c r="M12" s="33"/>
      <c r="N12" s="20">
        <v>6</v>
      </c>
      <c r="O12" s="20">
        <f t="shared" si="1"/>
        <v>0</v>
      </c>
      <c r="P12" s="19"/>
      <c r="Q12" s="19">
        <v>0</v>
      </c>
      <c r="R12" s="21"/>
      <c r="S12" s="20">
        <v>6</v>
      </c>
      <c r="T12" s="20">
        <f t="shared" si="2"/>
        <v>0</v>
      </c>
      <c r="U12" s="19"/>
      <c r="V12" s="19">
        <v>0</v>
      </c>
      <c r="W12" s="21"/>
      <c r="X12" s="20">
        <v>6</v>
      </c>
      <c r="Y12" s="20">
        <f t="shared" si="3"/>
        <v>0</v>
      </c>
      <c r="Z12" s="19"/>
      <c r="AA12" s="43">
        <v>0</v>
      </c>
    </row>
    <row r="13" spans="1:27" outlineLevel="1" x14ac:dyDescent="0.2">
      <c r="D13" s="19" t="s">
        <v>17</v>
      </c>
      <c r="E13" s="19">
        <v>7</v>
      </c>
      <c r="F13" s="19">
        <v>66</v>
      </c>
      <c r="G13" s="19">
        <f>SUM(E13:F13)</f>
        <v>73</v>
      </c>
      <c r="H13" s="21"/>
      <c r="I13" s="20">
        <v>7</v>
      </c>
      <c r="J13" s="20">
        <f t="shared" si="0"/>
        <v>0</v>
      </c>
      <c r="K13" s="19"/>
      <c r="L13" s="19">
        <v>0</v>
      </c>
      <c r="M13" s="33"/>
      <c r="N13" s="20">
        <v>7</v>
      </c>
      <c r="O13" s="20">
        <f t="shared" si="1"/>
        <v>0</v>
      </c>
      <c r="P13" s="19"/>
      <c r="Q13" s="19"/>
      <c r="R13" s="21"/>
      <c r="S13" s="20">
        <v>7</v>
      </c>
      <c r="T13" s="20">
        <f t="shared" si="2"/>
        <v>0</v>
      </c>
      <c r="U13" s="19"/>
      <c r="V13" s="19">
        <v>0</v>
      </c>
      <c r="W13" s="21"/>
      <c r="X13" s="20">
        <v>7</v>
      </c>
      <c r="Y13" s="20">
        <f t="shared" si="3"/>
        <v>0</v>
      </c>
      <c r="Z13" s="19"/>
      <c r="AA13" s="43"/>
    </row>
    <row r="14" spans="1:27" outlineLevel="1" x14ac:dyDescent="0.2">
      <c r="D14" s="19" t="s">
        <v>40</v>
      </c>
      <c r="E14" s="22">
        <f>MIN(E12,E13)/MAX(E12,E13)</f>
        <v>0.7142857142857143</v>
      </c>
      <c r="F14" s="22">
        <f>MIN(F12,F13)/MAX(F12,F13)</f>
        <v>0.93939393939393945</v>
      </c>
      <c r="G14" s="22">
        <f>MIN(G12,G13)/MAX(G12,G13)</f>
        <v>0.9178082191780822</v>
      </c>
      <c r="H14" s="21"/>
      <c r="I14" s="19" t="s">
        <v>10</v>
      </c>
      <c r="J14" s="20">
        <f t="shared" si="0"/>
        <v>0</v>
      </c>
      <c r="K14" s="19"/>
      <c r="L14" s="19">
        <v>0</v>
      </c>
      <c r="M14" s="33"/>
      <c r="N14" s="19" t="s">
        <v>10</v>
      </c>
      <c r="O14" s="20">
        <f t="shared" si="1"/>
        <v>0</v>
      </c>
      <c r="P14" s="19"/>
      <c r="Q14" s="19">
        <v>0</v>
      </c>
      <c r="R14" s="21"/>
      <c r="S14" s="19" t="s">
        <v>10</v>
      </c>
      <c r="T14" s="20">
        <f t="shared" si="2"/>
        <v>0</v>
      </c>
      <c r="U14" s="19"/>
      <c r="V14" s="19">
        <v>0</v>
      </c>
      <c r="W14" s="21"/>
      <c r="X14" s="19" t="s">
        <v>10</v>
      </c>
      <c r="Y14" s="20">
        <f t="shared" si="3"/>
        <v>0</v>
      </c>
      <c r="Z14" s="19"/>
      <c r="AA14" s="43">
        <v>0</v>
      </c>
    </row>
    <row r="15" spans="1:27" outlineLevel="1" x14ac:dyDescent="0.2">
      <c r="D15" s="38"/>
      <c r="E15" s="38"/>
      <c r="F15" s="38"/>
      <c r="G15" s="38"/>
      <c r="I15" s="19" t="s">
        <v>13</v>
      </c>
      <c r="J15" s="19">
        <f>(SUM(J7:J14))</f>
        <v>31</v>
      </c>
      <c r="K15" s="19">
        <f>(SUM(K7:K14))</f>
        <v>3</v>
      </c>
      <c r="L15" s="19">
        <f>(SUM(L7:L14))</f>
        <v>28</v>
      </c>
      <c r="M15" s="33"/>
      <c r="N15" s="19" t="s">
        <v>13</v>
      </c>
      <c r="O15" s="19">
        <f>(SUM(O7:O14))</f>
        <v>36</v>
      </c>
      <c r="P15" s="19">
        <f>(SUM(P7:P14))</f>
        <v>2</v>
      </c>
      <c r="Q15" s="19">
        <f>(SUM(Q7:Q14))</f>
        <v>34</v>
      </c>
      <c r="R15" s="21"/>
      <c r="S15" s="19" t="s">
        <v>13</v>
      </c>
      <c r="T15" s="19">
        <f>(SUM(T7:T14))</f>
        <v>12</v>
      </c>
      <c r="U15" s="19">
        <f>(SUM(U7:U14))</f>
        <v>1</v>
      </c>
      <c r="V15" s="19">
        <f>(SUM(V7:V14))</f>
        <v>11</v>
      </c>
      <c r="W15" s="21"/>
      <c r="X15" s="19" t="s">
        <v>13</v>
      </c>
      <c r="Y15" s="19">
        <f>(SUM(Y7:Y14))</f>
        <v>11</v>
      </c>
      <c r="Z15" s="19">
        <f>(SUM(Z7:Z14))</f>
        <v>1</v>
      </c>
      <c r="AA15" s="43">
        <f>(SUM(AA7:AA14))</f>
        <v>10</v>
      </c>
    </row>
    <row r="16" spans="1:27" outlineLevel="1" x14ac:dyDescent="0.2">
      <c r="I16" s="38"/>
      <c r="J16" s="38"/>
      <c r="K16" s="38"/>
      <c r="L16" s="38"/>
      <c r="M16" s="1"/>
      <c r="N16" s="38"/>
      <c r="O16" s="38"/>
      <c r="P16" s="38"/>
      <c r="Q16" s="38"/>
      <c r="S16" s="38"/>
      <c r="T16" s="38"/>
      <c r="U16" s="38"/>
      <c r="V16" s="38"/>
      <c r="X16" s="38"/>
      <c r="Y16" s="38"/>
      <c r="Z16" s="38"/>
      <c r="AA16" s="38"/>
    </row>
    <row r="17" spans="1:27" x14ac:dyDescent="0.2">
      <c r="B17" s="2"/>
      <c r="C17" s="1"/>
      <c r="D17" s="1"/>
      <c r="E17" s="1"/>
      <c r="F17" s="1"/>
      <c r="G17" s="1"/>
      <c r="H17" s="1"/>
      <c r="I17" s="1"/>
      <c r="J17" s="1"/>
      <c r="K17" s="1"/>
      <c r="L17" s="1"/>
      <c r="M17" s="1"/>
    </row>
    <row r="18" spans="1:27" ht="18" customHeight="1" x14ac:dyDescent="0.2">
      <c r="A18" s="1" t="s">
        <v>19</v>
      </c>
      <c r="B18" s="2">
        <v>41</v>
      </c>
      <c r="C18" s="1"/>
      <c r="I18" s="20" t="s">
        <v>77</v>
      </c>
      <c r="J18" s="20">
        <v>1</v>
      </c>
      <c r="K18" s="20" t="s">
        <v>12</v>
      </c>
      <c r="L18" s="20" t="s">
        <v>15</v>
      </c>
      <c r="M18" s="33"/>
      <c r="N18" s="20" t="s">
        <v>77</v>
      </c>
      <c r="O18" s="20">
        <v>2</v>
      </c>
      <c r="P18" s="20" t="s">
        <v>12</v>
      </c>
      <c r="Q18" s="20" t="s">
        <v>14</v>
      </c>
      <c r="R18" s="21"/>
      <c r="S18" s="1"/>
      <c r="T18" s="1"/>
      <c r="U18" s="1"/>
      <c r="V18" s="1"/>
      <c r="X18" s="1"/>
      <c r="Y18" s="1"/>
      <c r="Z18" s="1"/>
      <c r="AA18" s="1"/>
    </row>
    <row r="19" spans="1:27" outlineLevel="1" x14ac:dyDescent="0.2">
      <c r="B19" s="2"/>
      <c r="C19" s="1"/>
      <c r="I19" s="19" t="s">
        <v>11</v>
      </c>
      <c r="J19" s="35" t="s">
        <v>6</v>
      </c>
      <c r="K19" s="19"/>
      <c r="L19" s="19"/>
      <c r="M19" s="33"/>
      <c r="N19" s="19" t="s">
        <v>11</v>
      </c>
      <c r="O19" s="35" t="s">
        <v>8</v>
      </c>
      <c r="P19" s="19"/>
      <c r="Q19" s="19"/>
      <c r="R19" s="21"/>
    </row>
    <row r="20" spans="1:27" ht="17" customHeight="1" outlineLevel="1" x14ac:dyDescent="0.2">
      <c r="B20" s="2"/>
      <c r="C20" s="1"/>
      <c r="D20" s="19"/>
      <c r="E20" s="19" t="s">
        <v>60</v>
      </c>
      <c r="F20" s="20" t="s">
        <v>61</v>
      </c>
      <c r="G20" s="19" t="s">
        <v>43</v>
      </c>
      <c r="H20" s="21"/>
      <c r="I20" s="20" t="s">
        <v>9</v>
      </c>
      <c r="J20" s="20" t="s">
        <v>66</v>
      </c>
      <c r="K20" s="20" t="s">
        <v>60</v>
      </c>
      <c r="L20" s="20" t="s">
        <v>62</v>
      </c>
      <c r="M20" s="33"/>
      <c r="N20" s="20" t="s">
        <v>9</v>
      </c>
      <c r="O20" s="20" t="s">
        <v>66</v>
      </c>
      <c r="P20" s="20" t="s">
        <v>60</v>
      </c>
      <c r="Q20" s="20" t="s">
        <v>62</v>
      </c>
      <c r="R20" s="21"/>
      <c r="S20" s="1"/>
      <c r="T20" s="1"/>
      <c r="U20" s="1"/>
      <c r="V20" s="1"/>
      <c r="X20" s="1"/>
      <c r="Y20" s="1"/>
      <c r="Z20" s="1"/>
      <c r="AA20" s="1"/>
    </row>
    <row r="21" spans="1:27" outlineLevel="1" x14ac:dyDescent="0.2">
      <c r="B21" s="2"/>
      <c r="C21" s="1"/>
      <c r="D21" s="19" t="s">
        <v>16</v>
      </c>
      <c r="E21" s="19">
        <f>SUM(K29,P29,U29,Z29)</f>
        <v>0</v>
      </c>
      <c r="F21" s="19">
        <f>SUM(L29,Q29,V29,AA29)</f>
        <v>75</v>
      </c>
      <c r="G21" s="19">
        <f>SUM(E21:F21)</f>
        <v>75</v>
      </c>
      <c r="H21" s="21"/>
      <c r="I21" s="20">
        <v>1</v>
      </c>
      <c r="J21" s="20">
        <f>SUM(K21,L21)</f>
        <v>8</v>
      </c>
      <c r="K21" s="20">
        <v>0</v>
      </c>
      <c r="L21" s="20">
        <v>8</v>
      </c>
      <c r="M21" s="33"/>
      <c r="N21" s="20">
        <v>1</v>
      </c>
      <c r="O21" s="20">
        <f>SUM(P21,Q21)</f>
        <v>7</v>
      </c>
      <c r="P21" s="20"/>
      <c r="Q21" s="20">
        <v>7</v>
      </c>
      <c r="R21" s="21"/>
      <c r="S21" s="1"/>
      <c r="T21" s="1"/>
      <c r="U21" s="1"/>
      <c r="V21" s="1"/>
      <c r="X21" s="1"/>
      <c r="Y21" s="1"/>
      <c r="Z21" s="1"/>
      <c r="AA21" s="1"/>
    </row>
    <row r="22" spans="1:27" outlineLevel="1" x14ac:dyDescent="0.2">
      <c r="B22" s="2"/>
      <c r="C22" s="1"/>
      <c r="D22" s="19" t="s">
        <v>17</v>
      </c>
      <c r="E22" s="19">
        <v>0</v>
      </c>
      <c r="F22" s="19">
        <v>116</v>
      </c>
      <c r="G22" s="19">
        <f>SUM(E22:F22)</f>
        <v>116</v>
      </c>
      <c r="H22" s="21"/>
      <c r="I22" s="19">
        <v>2</v>
      </c>
      <c r="J22" s="20">
        <f t="shared" ref="J22:J28" si="4">SUM(K22,L22)</f>
        <v>9</v>
      </c>
      <c r="K22" s="19"/>
      <c r="L22" s="19">
        <v>9</v>
      </c>
      <c r="M22" s="33"/>
      <c r="N22" s="19">
        <v>2</v>
      </c>
      <c r="O22" s="20">
        <f t="shared" ref="O22:O28" si="5">SUM(P22,Q22)</f>
        <v>10</v>
      </c>
      <c r="P22" s="19"/>
      <c r="Q22" s="19">
        <v>10</v>
      </c>
      <c r="R22" s="21"/>
      <c r="T22" s="1"/>
      <c r="Y22" s="1"/>
    </row>
    <row r="23" spans="1:27" outlineLevel="1" x14ac:dyDescent="0.2">
      <c r="B23" s="2"/>
      <c r="C23" s="1"/>
      <c r="D23" s="19" t="s">
        <v>40</v>
      </c>
      <c r="E23" s="22"/>
      <c r="F23" s="22">
        <f>MIN(F21,F22)/MAX(F21,F22)</f>
        <v>0.64655172413793105</v>
      </c>
      <c r="G23" s="22">
        <f>MIN(G21,G22)/MAX(G21,G22)</f>
        <v>0.64655172413793105</v>
      </c>
      <c r="H23" s="21"/>
      <c r="I23" s="19">
        <v>3</v>
      </c>
      <c r="J23" s="20">
        <f t="shared" si="4"/>
        <v>9</v>
      </c>
      <c r="K23" s="19"/>
      <c r="L23" s="19">
        <v>9</v>
      </c>
      <c r="M23" s="33"/>
      <c r="N23" s="19">
        <v>3</v>
      </c>
      <c r="O23" s="20">
        <f t="shared" si="5"/>
        <v>10</v>
      </c>
      <c r="P23" s="19"/>
      <c r="Q23" s="19">
        <v>10</v>
      </c>
      <c r="R23" s="21"/>
      <c r="T23" s="1"/>
      <c r="Y23" s="1"/>
    </row>
    <row r="24" spans="1:27" outlineLevel="1" x14ac:dyDescent="0.2">
      <c r="B24" s="2"/>
      <c r="C24" s="1"/>
      <c r="D24" s="38"/>
      <c r="E24" s="38"/>
      <c r="F24" s="38"/>
      <c r="G24" s="38"/>
      <c r="I24" s="20">
        <v>4</v>
      </c>
      <c r="J24" s="20">
        <f t="shared" si="4"/>
        <v>9</v>
      </c>
      <c r="K24" s="19"/>
      <c r="L24" s="19">
        <v>9</v>
      </c>
      <c r="M24" s="33"/>
      <c r="N24" s="20">
        <v>4</v>
      </c>
      <c r="O24" s="20">
        <f t="shared" si="5"/>
        <v>10</v>
      </c>
      <c r="P24" s="19"/>
      <c r="Q24" s="19">
        <v>10</v>
      </c>
      <c r="R24" s="21"/>
      <c r="S24" s="1"/>
      <c r="T24" s="1"/>
      <c r="X24" s="1"/>
      <c r="Y24" s="1"/>
    </row>
    <row r="25" spans="1:27" ht="17" customHeight="1" outlineLevel="1" x14ac:dyDescent="0.2">
      <c r="B25" s="2"/>
      <c r="C25" s="1"/>
      <c r="D25" s="19" t="s">
        <v>0</v>
      </c>
      <c r="E25" s="20" t="s">
        <v>63</v>
      </c>
      <c r="F25" s="20" t="s">
        <v>64</v>
      </c>
      <c r="G25" s="19" t="s">
        <v>37</v>
      </c>
      <c r="H25" s="21"/>
      <c r="I25" s="20">
        <v>5</v>
      </c>
      <c r="J25" s="20">
        <f t="shared" si="4"/>
        <v>0</v>
      </c>
      <c r="K25" s="19"/>
      <c r="L25" s="19">
        <v>0</v>
      </c>
      <c r="M25" s="33"/>
      <c r="N25" s="20">
        <v>5</v>
      </c>
      <c r="O25" s="20">
        <f t="shared" si="5"/>
        <v>0</v>
      </c>
      <c r="P25" s="19"/>
      <c r="Q25" s="19">
        <v>0</v>
      </c>
      <c r="R25" s="21"/>
      <c r="S25" s="1"/>
      <c r="T25" s="1"/>
      <c r="X25" s="1"/>
      <c r="Y25" s="1"/>
    </row>
    <row r="26" spans="1:27" outlineLevel="1" x14ac:dyDescent="0.2">
      <c r="B26" s="2"/>
      <c r="C26" s="1"/>
      <c r="D26" s="19" t="s">
        <v>16</v>
      </c>
      <c r="E26" s="19">
        <f>SUM(K29)</f>
        <v>0</v>
      </c>
      <c r="F26" s="19">
        <f>SUM(L29)</f>
        <v>36</v>
      </c>
      <c r="G26" s="19">
        <f>SUM(E26:F26)</f>
        <v>36</v>
      </c>
      <c r="H26" s="21"/>
      <c r="I26" s="20">
        <v>6</v>
      </c>
      <c r="J26" s="20">
        <f t="shared" si="4"/>
        <v>0</v>
      </c>
      <c r="K26" s="19"/>
      <c r="L26" s="19">
        <v>0</v>
      </c>
      <c r="M26" s="33"/>
      <c r="N26" s="20">
        <v>6</v>
      </c>
      <c r="O26" s="20">
        <f t="shared" si="5"/>
        <v>0</v>
      </c>
      <c r="P26" s="19"/>
      <c r="Q26" s="19">
        <v>0</v>
      </c>
      <c r="R26" s="21"/>
      <c r="S26" s="1"/>
      <c r="T26" s="1"/>
      <c r="X26" s="1"/>
      <c r="Y26" s="1"/>
    </row>
    <row r="27" spans="1:27" outlineLevel="1" x14ac:dyDescent="0.2">
      <c r="B27" s="2"/>
      <c r="C27" s="1"/>
      <c r="D27" s="19" t="s">
        <v>17</v>
      </c>
      <c r="E27" s="19">
        <v>0</v>
      </c>
      <c r="F27" s="19">
        <v>56</v>
      </c>
      <c r="G27" s="19">
        <v>0</v>
      </c>
      <c r="H27" s="21"/>
      <c r="I27" s="20">
        <v>7</v>
      </c>
      <c r="J27" s="20">
        <f t="shared" si="4"/>
        <v>0</v>
      </c>
      <c r="K27" s="19"/>
      <c r="L27" s="19">
        <v>0</v>
      </c>
      <c r="M27" s="33"/>
      <c r="N27" s="20">
        <v>7</v>
      </c>
      <c r="O27" s="20">
        <f t="shared" si="5"/>
        <v>0</v>
      </c>
      <c r="P27" s="19"/>
      <c r="Q27" s="19"/>
      <c r="R27" s="21"/>
      <c r="S27" s="1"/>
      <c r="T27" s="1"/>
      <c r="X27" s="1"/>
      <c r="Y27" s="1"/>
    </row>
    <row r="28" spans="1:27" ht="16" outlineLevel="1" x14ac:dyDescent="0.2">
      <c r="B28" s="2" t="s">
        <v>87</v>
      </c>
      <c r="C28" s="1"/>
      <c r="D28" s="19" t="s">
        <v>40</v>
      </c>
      <c r="E28" s="22"/>
      <c r="F28" s="22">
        <f>MIN(F26,F27)/MAX(F26,F27)</f>
        <v>0.6428571428571429</v>
      </c>
      <c r="G28" s="22">
        <f>MIN(G26,G27)/MAX(G26,G27)</f>
        <v>0</v>
      </c>
      <c r="H28" s="21"/>
      <c r="I28" s="19" t="s">
        <v>10</v>
      </c>
      <c r="J28" s="20">
        <f t="shared" si="4"/>
        <v>1</v>
      </c>
      <c r="K28" s="19"/>
      <c r="L28" s="19">
        <v>1</v>
      </c>
      <c r="M28" s="33"/>
      <c r="N28" s="19" t="s">
        <v>10</v>
      </c>
      <c r="O28" s="20">
        <f t="shared" si="5"/>
        <v>2</v>
      </c>
      <c r="P28" s="19"/>
      <c r="Q28" s="19">
        <v>2</v>
      </c>
      <c r="R28" s="21"/>
      <c r="T28" s="1"/>
      <c r="Y28" s="1"/>
    </row>
    <row r="29" spans="1:27" outlineLevel="1" x14ac:dyDescent="0.2">
      <c r="B29" s="2"/>
      <c r="C29" s="1"/>
      <c r="D29" s="38"/>
      <c r="E29" s="38"/>
      <c r="F29" s="38"/>
      <c r="G29" s="38"/>
      <c r="I29" s="19" t="s">
        <v>13</v>
      </c>
      <c r="J29" s="19">
        <f>(SUM(J21:J28))</f>
        <v>36</v>
      </c>
      <c r="K29" s="19">
        <f>(SUM(K21:K28))</f>
        <v>0</v>
      </c>
      <c r="L29" s="19">
        <f>(SUM(L21:L28))</f>
        <v>36</v>
      </c>
      <c r="M29" s="33"/>
      <c r="N29" s="19" t="s">
        <v>13</v>
      </c>
      <c r="O29" s="19">
        <f>(SUM(O21:O28))</f>
        <v>39</v>
      </c>
      <c r="P29" s="19">
        <f>(SUM(P21:P28))</f>
        <v>0</v>
      </c>
      <c r="Q29" s="19">
        <f>(SUM(Q21:Q28))</f>
        <v>39</v>
      </c>
      <c r="R29" s="21"/>
    </row>
    <row r="30" spans="1:27" outlineLevel="1" x14ac:dyDescent="0.2">
      <c r="B30" s="2"/>
      <c r="C30" s="1"/>
      <c r="I30" s="38"/>
      <c r="J30" s="38"/>
      <c r="K30" s="38"/>
      <c r="L30" s="38"/>
      <c r="M30" s="1"/>
      <c r="N30" s="38"/>
      <c r="O30" s="38"/>
      <c r="P30" s="38"/>
      <c r="Q30" s="38"/>
    </row>
    <row r="31" spans="1:27" ht="15" customHeight="1" x14ac:dyDescent="0.2">
      <c r="B31" s="2"/>
      <c r="C31" s="1"/>
      <c r="D31" s="1"/>
      <c r="E31" s="1"/>
      <c r="F31" s="1"/>
      <c r="G31" s="1"/>
      <c r="H31" s="1"/>
      <c r="I31" s="1"/>
      <c r="J31" s="1"/>
      <c r="K31" s="1"/>
      <c r="L31" s="1"/>
      <c r="M31" s="1"/>
    </row>
    <row r="32" spans="1:27" ht="18" customHeight="1" outlineLevel="1" x14ac:dyDescent="0.2">
      <c r="A32" s="1" t="s">
        <v>20</v>
      </c>
      <c r="B32" s="2" t="s">
        <v>27</v>
      </c>
      <c r="C32" s="1"/>
      <c r="I32" s="20" t="s">
        <v>77</v>
      </c>
      <c r="J32" s="20">
        <v>1</v>
      </c>
      <c r="K32" s="20" t="s">
        <v>12</v>
      </c>
      <c r="L32" s="20" t="s">
        <v>15</v>
      </c>
      <c r="M32" s="33"/>
      <c r="N32" s="20" t="s">
        <v>77</v>
      </c>
      <c r="O32" s="20">
        <v>2</v>
      </c>
      <c r="P32" s="20" t="s">
        <v>12</v>
      </c>
      <c r="Q32" s="20" t="s">
        <v>15</v>
      </c>
      <c r="R32" s="21"/>
      <c r="S32" s="20" t="s">
        <v>77</v>
      </c>
      <c r="T32" s="20">
        <v>3</v>
      </c>
      <c r="U32" s="20" t="s">
        <v>12</v>
      </c>
      <c r="V32" s="20" t="s">
        <v>15</v>
      </c>
      <c r="W32" s="21"/>
      <c r="X32" s="20" t="s">
        <v>77</v>
      </c>
      <c r="Y32" s="20">
        <v>4</v>
      </c>
      <c r="Z32" s="20" t="s">
        <v>12</v>
      </c>
      <c r="AA32" s="42" t="s">
        <v>14</v>
      </c>
    </row>
    <row r="33" spans="2:27" outlineLevel="1" x14ac:dyDescent="0.2">
      <c r="B33" s="2"/>
      <c r="C33" s="1"/>
      <c r="I33" s="19" t="s">
        <v>11</v>
      </c>
      <c r="J33" s="35" t="s">
        <v>6</v>
      </c>
      <c r="K33" s="19"/>
      <c r="L33" s="19"/>
      <c r="M33" s="33"/>
      <c r="N33" s="19" t="s">
        <v>11</v>
      </c>
      <c r="O33" s="35" t="s">
        <v>7</v>
      </c>
      <c r="P33" s="19"/>
      <c r="Q33" s="19"/>
      <c r="R33" s="21"/>
      <c r="S33" s="19" t="s">
        <v>11</v>
      </c>
      <c r="T33" s="35" t="s">
        <v>8</v>
      </c>
      <c r="U33" s="19"/>
      <c r="V33" s="19"/>
      <c r="W33" s="21"/>
      <c r="X33" s="19" t="s">
        <v>11</v>
      </c>
      <c r="Y33" s="35" t="s">
        <v>6</v>
      </c>
      <c r="Z33" s="19"/>
      <c r="AA33" s="43"/>
    </row>
    <row r="34" spans="2:27" ht="15" customHeight="1" outlineLevel="1" x14ac:dyDescent="0.2">
      <c r="B34" s="2"/>
      <c r="C34" s="1"/>
      <c r="D34" s="19"/>
      <c r="E34" s="19" t="s">
        <v>60</v>
      </c>
      <c r="F34" s="20" t="s">
        <v>61</v>
      </c>
      <c r="G34" s="19" t="s">
        <v>43</v>
      </c>
      <c r="H34" s="21"/>
      <c r="I34" s="20" t="s">
        <v>9</v>
      </c>
      <c r="J34" s="20" t="s">
        <v>66</v>
      </c>
      <c r="K34" s="20" t="s">
        <v>60</v>
      </c>
      <c r="L34" s="20" t="s">
        <v>62</v>
      </c>
      <c r="M34" s="33"/>
      <c r="N34" s="20" t="s">
        <v>9</v>
      </c>
      <c r="O34" s="20" t="s">
        <v>66</v>
      </c>
      <c r="P34" s="20" t="s">
        <v>60</v>
      </c>
      <c r="Q34" s="20" t="s">
        <v>62</v>
      </c>
      <c r="R34" s="21"/>
      <c r="S34" s="20" t="s">
        <v>9</v>
      </c>
      <c r="T34" s="20" t="s">
        <v>66</v>
      </c>
      <c r="U34" s="20" t="s">
        <v>60</v>
      </c>
      <c r="V34" s="20" t="s">
        <v>62</v>
      </c>
      <c r="W34" s="21"/>
      <c r="X34" s="20" t="s">
        <v>9</v>
      </c>
      <c r="Y34" s="20" t="s">
        <v>66</v>
      </c>
      <c r="Z34" s="20" t="s">
        <v>60</v>
      </c>
      <c r="AA34" s="42" t="s">
        <v>62</v>
      </c>
    </row>
    <row r="35" spans="2:27" outlineLevel="1" x14ac:dyDescent="0.2">
      <c r="B35" s="2"/>
      <c r="C35" s="1"/>
      <c r="D35" s="19" t="s">
        <v>16</v>
      </c>
      <c r="E35" s="19">
        <f>SUM(K43,P43,U43,Z43,K56,P56)</f>
        <v>59</v>
      </c>
      <c r="F35" s="19">
        <f>SUM(L43,Q43,V43,AA43,L56,Q56)</f>
        <v>177</v>
      </c>
      <c r="G35" s="19">
        <f>SUM(E35:F35)</f>
        <v>236</v>
      </c>
      <c r="H35" s="21"/>
      <c r="I35" s="20">
        <v>1</v>
      </c>
      <c r="J35" s="20">
        <f>SUM(K35,L35)</f>
        <v>9</v>
      </c>
      <c r="K35" s="20"/>
      <c r="L35" s="20">
        <v>9</v>
      </c>
      <c r="M35" s="33"/>
      <c r="N35" s="20">
        <v>1</v>
      </c>
      <c r="O35" s="20">
        <f>SUM(P35,Q35)</f>
        <v>12</v>
      </c>
      <c r="P35" s="20">
        <v>4</v>
      </c>
      <c r="Q35" s="20">
        <v>8</v>
      </c>
      <c r="R35" s="21"/>
      <c r="S35" s="20">
        <v>1</v>
      </c>
      <c r="T35" s="20">
        <f>SUM(U35,V35)</f>
        <v>9</v>
      </c>
      <c r="U35" s="20">
        <v>7</v>
      </c>
      <c r="V35" s="20">
        <v>2</v>
      </c>
      <c r="W35" s="21"/>
      <c r="X35" s="20">
        <v>1</v>
      </c>
      <c r="Y35" s="20">
        <f>SUM(Z35,AA35)</f>
        <v>3</v>
      </c>
      <c r="Z35" s="20">
        <v>1</v>
      </c>
      <c r="AA35" s="42">
        <v>2</v>
      </c>
    </row>
    <row r="36" spans="2:27" outlineLevel="1" x14ac:dyDescent="0.2">
      <c r="B36" s="2"/>
      <c r="C36" s="1"/>
      <c r="D36" s="19" t="s">
        <v>17</v>
      </c>
      <c r="E36" s="19">
        <v>95.9</v>
      </c>
      <c r="F36" s="19">
        <v>272</v>
      </c>
      <c r="G36" s="19">
        <f>SUM(E36:F36)</f>
        <v>367.9</v>
      </c>
      <c r="H36" s="21"/>
      <c r="I36" s="19">
        <v>2</v>
      </c>
      <c r="J36" s="20">
        <f t="shared" ref="J36:J42" si="6">SUM(K36,L36)</f>
        <v>9</v>
      </c>
      <c r="K36" s="19"/>
      <c r="L36" s="19">
        <v>9</v>
      </c>
      <c r="M36" s="33"/>
      <c r="N36" s="19">
        <v>2</v>
      </c>
      <c r="O36" s="20">
        <f t="shared" ref="O36:O42" si="7">SUM(P36,Q36)</f>
        <v>16</v>
      </c>
      <c r="P36" s="19">
        <v>7</v>
      </c>
      <c r="Q36" s="19">
        <v>9</v>
      </c>
      <c r="R36" s="21"/>
      <c r="S36" s="19">
        <v>2</v>
      </c>
      <c r="T36" s="20">
        <f t="shared" ref="T36:T42" si="8">SUM(U36,V36)</f>
        <v>9</v>
      </c>
      <c r="U36" s="19"/>
      <c r="V36" s="19">
        <v>9</v>
      </c>
      <c r="W36" s="21"/>
      <c r="X36" s="19">
        <v>2</v>
      </c>
      <c r="Y36" s="20">
        <f t="shared" ref="Y36:Y42" si="9">SUM(Z36,AA36)</f>
        <v>3</v>
      </c>
      <c r="Z36" s="19">
        <v>1</v>
      </c>
      <c r="AA36" s="43">
        <v>2</v>
      </c>
    </row>
    <row r="37" spans="2:27" outlineLevel="1" x14ac:dyDescent="0.2">
      <c r="B37" s="2"/>
      <c r="C37" s="1"/>
      <c r="D37" s="19" t="s">
        <v>40</v>
      </c>
      <c r="E37" s="22">
        <f>MIN(E35,E36)/MAX(E35,E36)</f>
        <v>0.61522419186652755</v>
      </c>
      <c r="F37" s="22">
        <f>MIN(F35,F36)/MAX(F35,F36)</f>
        <v>0.65073529411764708</v>
      </c>
      <c r="G37" s="22">
        <f>MIN(G35,G36)/MAX(G35,G36)</f>
        <v>0.64147866268007614</v>
      </c>
      <c r="H37" s="21"/>
      <c r="I37" s="19">
        <v>3</v>
      </c>
      <c r="J37" s="20">
        <f t="shared" si="6"/>
        <v>9</v>
      </c>
      <c r="K37" s="19"/>
      <c r="L37" s="19">
        <v>9</v>
      </c>
      <c r="M37" s="33"/>
      <c r="N37" s="19">
        <v>3</v>
      </c>
      <c r="O37" s="20">
        <f t="shared" si="7"/>
        <v>16</v>
      </c>
      <c r="P37" s="19">
        <v>4</v>
      </c>
      <c r="Q37" s="19">
        <v>12</v>
      </c>
      <c r="R37" s="21"/>
      <c r="S37" s="19">
        <v>3</v>
      </c>
      <c r="T37" s="20">
        <f t="shared" si="8"/>
        <v>9</v>
      </c>
      <c r="U37" s="19">
        <v>4</v>
      </c>
      <c r="V37" s="19">
        <v>5</v>
      </c>
      <c r="W37" s="21"/>
      <c r="X37" s="19">
        <v>3</v>
      </c>
      <c r="Y37" s="20">
        <f t="shared" si="9"/>
        <v>3</v>
      </c>
      <c r="Z37" s="19">
        <v>1</v>
      </c>
      <c r="AA37" s="43">
        <v>2</v>
      </c>
    </row>
    <row r="38" spans="2:27" outlineLevel="1" x14ac:dyDescent="0.2">
      <c r="B38" s="2"/>
      <c r="C38" s="1"/>
      <c r="D38" s="38"/>
      <c r="E38" s="38"/>
      <c r="F38" s="38"/>
      <c r="G38" s="38"/>
      <c r="I38" s="20">
        <v>4</v>
      </c>
      <c r="J38" s="20">
        <f t="shared" si="6"/>
        <v>9</v>
      </c>
      <c r="K38" s="19"/>
      <c r="L38" s="19">
        <v>9</v>
      </c>
      <c r="M38" s="33"/>
      <c r="N38" s="20">
        <v>4</v>
      </c>
      <c r="O38" s="20">
        <f t="shared" si="7"/>
        <v>16</v>
      </c>
      <c r="P38" s="19">
        <v>8</v>
      </c>
      <c r="Q38" s="19">
        <v>8</v>
      </c>
      <c r="R38" s="21"/>
      <c r="S38" s="20">
        <v>4</v>
      </c>
      <c r="T38" s="20">
        <f t="shared" si="8"/>
        <v>9</v>
      </c>
      <c r="U38" s="19">
        <v>4</v>
      </c>
      <c r="V38" s="19">
        <v>5</v>
      </c>
      <c r="W38" s="21"/>
      <c r="X38" s="20">
        <v>4</v>
      </c>
      <c r="Y38" s="20">
        <f t="shared" si="9"/>
        <v>3</v>
      </c>
      <c r="Z38" s="19">
        <v>1</v>
      </c>
      <c r="AA38" s="43">
        <v>2</v>
      </c>
    </row>
    <row r="39" spans="2:27" ht="18" customHeight="1" outlineLevel="1" x14ac:dyDescent="0.2">
      <c r="B39" s="2"/>
      <c r="C39" s="1"/>
      <c r="D39" s="19" t="s">
        <v>0</v>
      </c>
      <c r="E39" s="20" t="s">
        <v>63</v>
      </c>
      <c r="F39" s="20" t="s">
        <v>64</v>
      </c>
      <c r="G39" s="19" t="s">
        <v>37</v>
      </c>
      <c r="H39" s="21"/>
      <c r="I39" s="20">
        <v>5</v>
      </c>
      <c r="J39" s="20">
        <f t="shared" si="6"/>
        <v>9</v>
      </c>
      <c r="K39" s="19"/>
      <c r="L39" s="19">
        <v>9</v>
      </c>
      <c r="M39" s="33"/>
      <c r="N39" s="20">
        <v>5</v>
      </c>
      <c r="O39" s="20">
        <f t="shared" si="7"/>
        <v>16</v>
      </c>
      <c r="P39" s="19"/>
      <c r="Q39" s="19">
        <v>16</v>
      </c>
      <c r="R39" s="21"/>
      <c r="S39" s="20">
        <v>5</v>
      </c>
      <c r="T39" s="20">
        <f t="shared" si="8"/>
        <v>9</v>
      </c>
      <c r="U39" s="19">
        <v>2</v>
      </c>
      <c r="V39" s="19">
        <v>7</v>
      </c>
      <c r="W39" s="21"/>
      <c r="X39" s="20">
        <v>5</v>
      </c>
      <c r="Y39" s="20">
        <f t="shared" si="9"/>
        <v>3</v>
      </c>
      <c r="Z39" s="19"/>
      <c r="AA39" s="43">
        <v>3</v>
      </c>
    </row>
    <row r="40" spans="2:27" outlineLevel="1" x14ac:dyDescent="0.2">
      <c r="B40" s="2"/>
      <c r="C40" s="1"/>
      <c r="D40" s="19" t="s">
        <v>16</v>
      </c>
      <c r="E40" s="19">
        <f>SUM(P43,K43,U43)</f>
        <v>40</v>
      </c>
      <c r="F40" s="19">
        <f>SUM(Q43,L43,V43)</f>
        <v>133</v>
      </c>
      <c r="G40" s="19">
        <f>SUM(E40:F40)</f>
        <v>173</v>
      </c>
      <c r="H40" s="21"/>
      <c r="I40" s="20">
        <v>6</v>
      </c>
      <c r="J40" s="20">
        <f t="shared" si="6"/>
        <v>0</v>
      </c>
      <c r="K40" s="19"/>
      <c r="L40" s="19">
        <v>0</v>
      </c>
      <c r="M40" s="33"/>
      <c r="N40" s="20">
        <v>6</v>
      </c>
      <c r="O40" s="20">
        <f t="shared" si="7"/>
        <v>0</v>
      </c>
      <c r="P40" s="19"/>
      <c r="Q40" s="19">
        <v>0</v>
      </c>
      <c r="R40" s="21"/>
      <c r="S40" s="20">
        <v>6</v>
      </c>
      <c r="T40" s="20">
        <f t="shared" si="8"/>
        <v>0</v>
      </c>
      <c r="U40" s="19"/>
      <c r="V40" s="19">
        <v>0</v>
      </c>
      <c r="W40" s="21"/>
      <c r="X40" s="20">
        <v>6</v>
      </c>
      <c r="Y40" s="20">
        <f t="shared" si="9"/>
        <v>0</v>
      </c>
      <c r="Z40" s="19"/>
      <c r="AA40" s="43">
        <v>0</v>
      </c>
    </row>
    <row r="41" spans="2:27" outlineLevel="1" x14ac:dyDescent="0.2">
      <c r="B41" s="2"/>
      <c r="C41" s="1"/>
      <c r="D41" s="19" t="s">
        <v>17</v>
      </c>
      <c r="E41" s="19">
        <v>63</v>
      </c>
      <c r="F41" s="19">
        <v>179</v>
      </c>
      <c r="G41" s="19">
        <f>SUM(E41:F41)</f>
        <v>242</v>
      </c>
      <c r="H41" s="21"/>
      <c r="I41" s="20">
        <v>7</v>
      </c>
      <c r="J41" s="20">
        <f t="shared" si="6"/>
        <v>0</v>
      </c>
      <c r="K41" s="19"/>
      <c r="L41" s="19">
        <v>0</v>
      </c>
      <c r="M41" s="33"/>
      <c r="N41" s="20">
        <v>7</v>
      </c>
      <c r="O41" s="20">
        <f t="shared" si="7"/>
        <v>0</v>
      </c>
      <c r="P41" s="19"/>
      <c r="Q41" s="19"/>
      <c r="R41" s="21"/>
      <c r="S41" s="20">
        <v>7</v>
      </c>
      <c r="T41" s="20">
        <f t="shared" si="8"/>
        <v>0</v>
      </c>
      <c r="U41" s="19"/>
      <c r="V41" s="19"/>
      <c r="W41" s="21"/>
      <c r="X41" s="20">
        <v>7</v>
      </c>
      <c r="Y41" s="20">
        <f t="shared" si="9"/>
        <v>0</v>
      </c>
      <c r="Z41" s="19"/>
      <c r="AA41" s="43"/>
    </row>
    <row r="42" spans="2:27" outlineLevel="1" x14ac:dyDescent="0.2">
      <c r="B42" s="2"/>
      <c r="C42" s="1"/>
      <c r="D42" s="19" t="s">
        <v>40</v>
      </c>
      <c r="E42" s="22">
        <f>MIN(E40,E41)/MAX(E40,E41)</f>
        <v>0.63492063492063489</v>
      </c>
      <c r="F42" s="22">
        <f>MIN(F40,F41)/MAX(F40,F41)</f>
        <v>0.74301675977653636</v>
      </c>
      <c r="G42" s="22">
        <f>MIN(G40,G41)/MAX(G40,G41)</f>
        <v>0.71487603305785119</v>
      </c>
      <c r="H42" s="21"/>
      <c r="I42" s="19" t="s">
        <v>10</v>
      </c>
      <c r="J42" s="20">
        <f t="shared" si="6"/>
        <v>2</v>
      </c>
      <c r="K42" s="19"/>
      <c r="L42" s="19">
        <v>2</v>
      </c>
      <c r="M42" s="33"/>
      <c r="N42" s="19" t="s">
        <v>10</v>
      </c>
      <c r="O42" s="20">
        <f t="shared" si="7"/>
        <v>3</v>
      </c>
      <c r="P42" s="19"/>
      <c r="Q42" s="19">
        <v>3</v>
      </c>
      <c r="R42" s="21"/>
      <c r="S42" s="19" t="s">
        <v>10</v>
      </c>
      <c r="T42" s="20">
        <f t="shared" si="8"/>
        <v>2</v>
      </c>
      <c r="U42" s="19"/>
      <c r="V42" s="19">
        <v>2</v>
      </c>
      <c r="W42" s="21"/>
      <c r="X42" s="19" t="s">
        <v>10</v>
      </c>
      <c r="Y42" s="20">
        <f t="shared" si="9"/>
        <v>1</v>
      </c>
      <c r="Z42" s="19"/>
      <c r="AA42" s="43">
        <v>1</v>
      </c>
    </row>
    <row r="43" spans="2:27" outlineLevel="1" x14ac:dyDescent="0.2">
      <c r="B43" s="2"/>
      <c r="C43" s="1"/>
      <c r="D43" s="38"/>
      <c r="E43" s="38"/>
      <c r="F43" s="38"/>
      <c r="G43" s="38"/>
      <c r="I43" s="19" t="s">
        <v>13</v>
      </c>
      <c r="J43" s="19">
        <f>(SUM(J35:J42))</f>
        <v>47</v>
      </c>
      <c r="K43" s="19">
        <f>(SUM(K35:K42))</f>
        <v>0</v>
      </c>
      <c r="L43" s="19">
        <f>(SUM(L35:L42))</f>
        <v>47</v>
      </c>
      <c r="M43" s="33"/>
      <c r="N43" s="19" t="s">
        <v>13</v>
      </c>
      <c r="O43" s="19">
        <f>(SUM(O35:O42))</f>
        <v>79</v>
      </c>
      <c r="P43" s="19">
        <f>(SUM(P35:P42))</f>
        <v>23</v>
      </c>
      <c r="Q43" s="19">
        <f>(SUM(Q35:Q42))</f>
        <v>56</v>
      </c>
      <c r="R43" s="21"/>
      <c r="S43" s="19" t="s">
        <v>13</v>
      </c>
      <c r="T43" s="19">
        <f>(SUM(T35:T42))</f>
        <v>47</v>
      </c>
      <c r="U43" s="19">
        <f>(SUM(U35:U42))</f>
        <v>17</v>
      </c>
      <c r="V43" s="19">
        <f>(SUM(V35:V42))</f>
        <v>30</v>
      </c>
      <c r="W43" s="21"/>
      <c r="X43" s="19" t="s">
        <v>13</v>
      </c>
      <c r="Y43" s="19">
        <f>(SUM(Y35:Y42))</f>
        <v>16</v>
      </c>
      <c r="Z43" s="19">
        <f>(SUM(Z35:Z42))</f>
        <v>4</v>
      </c>
      <c r="AA43" s="43">
        <f>(SUM(AA35:AA42))</f>
        <v>12</v>
      </c>
    </row>
    <row r="44" spans="2:27" outlineLevel="1" x14ac:dyDescent="0.2">
      <c r="B44" s="2"/>
      <c r="C44" s="1"/>
      <c r="I44" s="38"/>
      <c r="J44" s="38"/>
      <c r="K44" s="38"/>
      <c r="L44" s="38"/>
      <c r="M44" s="1"/>
      <c r="N44" s="38"/>
      <c r="O44" s="38"/>
      <c r="P44" s="38"/>
      <c r="Q44" s="38"/>
      <c r="S44" s="38"/>
      <c r="T44" s="38"/>
      <c r="U44" s="38"/>
      <c r="V44" s="38"/>
      <c r="X44" s="38"/>
      <c r="Y44" s="38"/>
      <c r="Z44" s="38"/>
      <c r="AA44" s="38"/>
    </row>
    <row r="45" spans="2:27" ht="16" customHeight="1" x14ac:dyDescent="0.2">
      <c r="B45" s="2"/>
      <c r="C45" s="1"/>
      <c r="I45" s="20" t="s">
        <v>77</v>
      </c>
      <c r="J45" s="20">
        <v>5</v>
      </c>
      <c r="K45" s="20" t="s">
        <v>12</v>
      </c>
      <c r="L45" s="20" t="s">
        <v>14</v>
      </c>
      <c r="M45" s="21"/>
      <c r="N45" s="20" t="s">
        <v>77</v>
      </c>
      <c r="O45" s="20">
        <v>6</v>
      </c>
      <c r="P45" s="20" t="s">
        <v>12</v>
      </c>
      <c r="Q45" s="20" t="s">
        <v>14</v>
      </c>
      <c r="R45" s="21"/>
    </row>
    <row r="46" spans="2:27" outlineLevel="1" x14ac:dyDescent="0.2">
      <c r="B46" s="2"/>
      <c r="C46" s="1"/>
      <c r="I46" s="19" t="s">
        <v>11</v>
      </c>
      <c r="J46" s="35" t="s">
        <v>5</v>
      </c>
      <c r="K46" s="19"/>
      <c r="L46" s="19"/>
      <c r="M46" s="21"/>
      <c r="N46" s="19" t="s">
        <v>11</v>
      </c>
      <c r="O46" s="35" t="s">
        <v>6</v>
      </c>
      <c r="P46" s="19"/>
      <c r="Q46" s="19"/>
      <c r="R46" s="21"/>
    </row>
    <row r="47" spans="2:27" ht="16" customHeight="1" outlineLevel="1" x14ac:dyDescent="0.2">
      <c r="B47" s="2"/>
      <c r="C47" s="1"/>
      <c r="I47" s="20" t="s">
        <v>9</v>
      </c>
      <c r="J47" s="20" t="s">
        <v>66</v>
      </c>
      <c r="K47" s="20" t="s">
        <v>60</v>
      </c>
      <c r="L47" s="20" t="s">
        <v>62</v>
      </c>
      <c r="M47" s="21"/>
      <c r="N47" s="20" t="s">
        <v>9</v>
      </c>
      <c r="O47" s="20" t="s">
        <v>66</v>
      </c>
      <c r="P47" s="20" t="s">
        <v>60</v>
      </c>
      <c r="Q47" s="20" t="s">
        <v>62</v>
      </c>
      <c r="R47" s="21"/>
    </row>
    <row r="48" spans="2:27" outlineLevel="1" x14ac:dyDescent="0.2">
      <c r="B48" s="2"/>
      <c r="C48" s="1"/>
      <c r="I48" s="20">
        <v>1</v>
      </c>
      <c r="J48" s="20">
        <f>SUM(K48,L48)</f>
        <v>5</v>
      </c>
      <c r="K48" s="20">
        <v>2</v>
      </c>
      <c r="L48" s="20">
        <v>3</v>
      </c>
      <c r="M48" s="21"/>
      <c r="N48" s="20">
        <v>1</v>
      </c>
      <c r="O48" s="20">
        <f>SUM(P48,Q48)</f>
        <v>2</v>
      </c>
      <c r="P48" s="20">
        <v>1</v>
      </c>
      <c r="Q48" s="20">
        <v>1</v>
      </c>
      <c r="R48" s="21"/>
    </row>
    <row r="49" spans="1:27" outlineLevel="1" x14ac:dyDescent="0.2">
      <c r="B49" s="2"/>
      <c r="C49" s="1"/>
      <c r="I49" s="19">
        <v>2</v>
      </c>
      <c r="J49" s="20">
        <f t="shared" ref="J49:J55" si="10">SUM(K49,L49)</f>
        <v>6</v>
      </c>
      <c r="K49" s="19"/>
      <c r="L49" s="19">
        <v>6</v>
      </c>
      <c r="M49" s="21"/>
      <c r="N49" s="19">
        <v>2</v>
      </c>
      <c r="O49" s="20">
        <f t="shared" ref="O49:O55" si="11">SUM(P49,Q49)</f>
        <v>3</v>
      </c>
      <c r="P49" s="19">
        <v>1</v>
      </c>
      <c r="Q49" s="19">
        <v>2</v>
      </c>
      <c r="R49" s="21"/>
    </row>
    <row r="50" spans="1:27" outlineLevel="1" x14ac:dyDescent="0.2">
      <c r="B50" s="2"/>
      <c r="C50" s="1"/>
      <c r="I50" s="19">
        <v>3</v>
      </c>
      <c r="J50" s="20">
        <f t="shared" si="10"/>
        <v>6</v>
      </c>
      <c r="K50" s="19">
        <v>2</v>
      </c>
      <c r="L50" s="19">
        <v>4</v>
      </c>
      <c r="M50" s="21"/>
      <c r="N50" s="19">
        <v>3</v>
      </c>
      <c r="O50" s="20">
        <f t="shared" si="11"/>
        <v>3</v>
      </c>
      <c r="P50" s="19">
        <v>2</v>
      </c>
      <c r="Q50" s="19">
        <v>1</v>
      </c>
      <c r="R50" s="21"/>
    </row>
    <row r="51" spans="1:27" outlineLevel="1" x14ac:dyDescent="0.2">
      <c r="B51" s="2"/>
      <c r="C51" s="1"/>
      <c r="I51" s="20">
        <v>4</v>
      </c>
      <c r="J51" s="20">
        <f t="shared" si="10"/>
        <v>6</v>
      </c>
      <c r="K51" s="19">
        <v>3</v>
      </c>
      <c r="L51" s="19">
        <v>3</v>
      </c>
      <c r="M51" s="21"/>
      <c r="N51" s="20">
        <v>4</v>
      </c>
      <c r="O51" s="20">
        <f t="shared" si="11"/>
        <v>3</v>
      </c>
      <c r="P51" s="19">
        <v>1</v>
      </c>
      <c r="Q51" s="19">
        <v>2</v>
      </c>
      <c r="R51" s="21"/>
    </row>
    <row r="52" spans="1:27" outlineLevel="1" x14ac:dyDescent="0.2">
      <c r="B52" s="2"/>
      <c r="C52" s="1"/>
      <c r="I52" s="20">
        <v>5</v>
      </c>
      <c r="J52" s="20">
        <f t="shared" si="10"/>
        <v>6</v>
      </c>
      <c r="K52" s="19">
        <v>2</v>
      </c>
      <c r="L52" s="19">
        <v>4</v>
      </c>
      <c r="M52" s="21"/>
      <c r="N52" s="20">
        <v>5</v>
      </c>
      <c r="O52" s="20">
        <f t="shared" si="11"/>
        <v>3</v>
      </c>
      <c r="P52" s="19">
        <v>1</v>
      </c>
      <c r="Q52" s="19">
        <v>2</v>
      </c>
      <c r="R52" s="21"/>
    </row>
    <row r="53" spans="1:27" ht="18" customHeight="1" outlineLevel="1" x14ac:dyDescent="0.2">
      <c r="B53" s="2" t="s">
        <v>87</v>
      </c>
      <c r="C53" s="1"/>
      <c r="I53" s="20">
        <v>6</v>
      </c>
      <c r="J53" s="20">
        <f t="shared" si="10"/>
        <v>0</v>
      </c>
      <c r="K53" s="19"/>
      <c r="L53" s="19">
        <v>0</v>
      </c>
      <c r="M53" s="21"/>
      <c r="N53" s="20">
        <v>6</v>
      </c>
      <c r="O53" s="20">
        <f t="shared" si="11"/>
        <v>0</v>
      </c>
      <c r="P53" s="19"/>
      <c r="Q53" s="19">
        <v>0</v>
      </c>
      <c r="R53" s="21"/>
    </row>
    <row r="54" spans="1:27" outlineLevel="1" x14ac:dyDescent="0.2">
      <c r="B54" s="2"/>
      <c r="C54" s="1"/>
      <c r="I54" s="20">
        <v>7</v>
      </c>
      <c r="J54" s="20">
        <f t="shared" si="10"/>
        <v>0</v>
      </c>
      <c r="K54" s="19"/>
      <c r="L54" s="19"/>
      <c r="M54" s="21"/>
      <c r="N54" s="20">
        <v>7</v>
      </c>
      <c r="O54" s="20">
        <f t="shared" si="11"/>
        <v>0</v>
      </c>
      <c r="P54" s="19"/>
      <c r="Q54" s="19"/>
      <c r="R54" s="21"/>
    </row>
    <row r="55" spans="1:27" outlineLevel="1" x14ac:dyDescent="0.2">
      <c r="B55" s="2"/>
      <c r="C55" s="1"/>
      <c r="I55" s="19" t="s">
        <v>10</v>
      </c>
      <c r="J55" s="20">
        <f t="shared" si="10"/>
        <v>2</v>
      </c>
      <c r="K55" s="19"/>
      <c r="L55" s="19">
        <v>2</v>
      </c>
      <c r="M55" s="21"/>
      <c r="N55" s="19" t="s">
        <v>10</v>
      </c>
      <c r="O55" s="20">
        <f t="shared" si="11"/>
        <v>2</v>
      </c>
      <c r="P55" s="19"/>
      <c r="Q55" s="19">
        <v>2</v>
      </c>
      <c r="R55" s="21"/>
    </row>
    <row r="56" spans="1:27" outlineLevel="1" x14ac:dyDescent="0.2">
      <c r="B56" s="2"/>
      <c r="C56" s="1"/>
      <c r="I56" s="19" t="s">
        <v>13</v>
      </c>
      <c r="J56" s="19">
        <f>(SUM(J48:J55))</f>
        <v>31</v>
      </c>
      <c r="K56" s="19">
        <f>(SUM(K48:K55))</f>
        <v>9</v>
      </c>
      <c r="L56" s="19">
        <f>(SUM(L48:L55))</f>
        <v>22</v>
      </c>
      <c r="M56" s="21"/>
      <c r="N56" s="19" t="s">
        <v>13</v>
      </c>
      <c r="O56" s="19">
        <f>(SUM(O48:O55))</f>
        <v>16</v>
      </c>
      <c r="P56" s="19">
        <f>(SUM(P48:P55))</f>
        <v>6</v>
      </c>
      <c r="Q56" s="19">
        <f>(SUM(Q48:Q55))</f>
        <v>10</v>
      </c>
      <c r="R56" s="21"/>
    </row>
    <row r="57" spans="1:27" outlineLevel="1" x14ac:dyDescent="0.2">
      <c r="B57" s="2"/>
      <c r="C57" s="1"/>
      <c r="I57" s="38"/>
      <c r="J57" s="38"/>
      <c r="K57" s="38"/>
      <c r="L57" s="38"/>
      <c r="M57" s="1"/>
      <c r="N57" s="38"/>
      <c r="O57" s="38"/>
      <c r="P57" s="38"/>
      <c r="Q57" s="38"/>
    </row>
    <row r="58" spans="1:27" outlineLevel="1" x14ac:dyDescent="0.2">
      <c r="B58" s="2"/>
      <c r="C58" s="1"/>
      <c r="D58" s="1"/>
      <c r="E58" s="1"/>
      <c r="F58" s="1"/>
      <c r="G58" s="1"/>
      <c r="H58" s="1"/>
      <c r="I58" s="1"/>
      <c r="J58" s="1"/>
      <c r="K58" s="1"/>
      <c r="L58" s="1"/>
      <c r="M58" s="1"/>
    </row>
    <row r="59" spans="1:27" ht="32" customHeight="1" x14ac:dyDescent="0.2">
      <c r="A59" s="1" t="s">
        <v>72</v>
      </c>
      <c r="B59" s="2">
        <v>98</v>
      </c>
      <c r="C59" s="1"/>
      <c r="I59" s="20" t="s">
        <v>77</v>
      </c>
      <c r="J59" s="20">
        <v>1</v>
      </c>
      <c r="K59" s="20" t="s">
        <v>12</v>
      </c>
      <c r="L59" s="20" t="s">
        <v>14</v>
      </c>
      <c r="M59" s="33"/>
      <c r="N59" s="20" t="s">
        <v>77</v>
      </c>
      <c r="O59" s="20">
        <v>2</v>
      </c>
      <c r="P59" s="20" t="s">
        <v>12</v>
      </c>
      <c r="Q59" s="20" t="s">
        <v>14</v>
      </c>
      <c r="R59" s="21"/>
      <c r="S59" s="20" t="s">
        <v>77</v>
      </c>
      <c r="T59" s="20">
        <v>3</v>
      </c>
      <c r="U59" s="20" t="s">
        <v>12</v>
      </c>
      <c r="V59" s="20" t="s">
        <v>14</v>
      </c>
      <c r="W59" s="21"/>
      <c r="X59" s="20" t="s">
        <v>77</v>
      </c>
      <c r="Y59" s="20">
        <v>4</v>
      </c>
      <c r="Z59" s="20" t="s">
        <v>12</v>
      </c>
      <c r="AA59" s="42" t="s">
        <v>14</v>
      </c>
    </row>
    <row r="60" spans="1:27" outlineLevel="1" x14ac:dyDescent="0.2">
      <c r="B60" s="2"/>
      <c r="C60" s="1"/>
      <c r="I60" s="19" t="s">
        <v>11</v>
      </c>
      <c r="J60" s="35" t="s">
        <v>6</v>
      </c>
      <c r="K60" s="19"/>
      <c r="L60" s="19"/>
      <c r="M60" s="33"/>
      <c r="N60" s="19" t="s">
        <v>11</v>
      </c>
      <c r="O60" s="35" t="s">
        <v>7</v>
      </c>
      <c r="P60" s="19"/>
      <c r="Q60" s="19"/>
      <c r="R60" s="21"/>
      <c r="S60" s="19" t="s">
        <v>11</v>
      </c>
      <c r="T60" s="35" t="s">
        <v>8</v>
      </c>
      <c r="U60" s="19"/>
      <c r="V60" s="19"/>
      <c r="W60" s="21"/>
      <c r="X60" s="19" t="s">
        <v>11</v>
      </c>
      <c r="Y60" s="35" t="s">
        <v>5</v>
      </c>
      <c r="Z60" s="19"/>
      <c r="AA60" s="43"/>
    </row>
    <row r="61" spans="1:27" ht="18" customHeight="1" outlineLevel="1" x14ac:dyDescent="0.2">
      <c r="B61" s="2"/>
      <c r="C61" s="1"/>
      <c r="D61" s="19"/>
      <c r="E61" s="19" t="s">
        <v>60</v>
      </c>
      <c r="F61" s="20" t="s">
        <v>61</v>
      </c>
      <c r="G61" s="19" t="s">
        <v>43</v>
      </c>
      <c r="H61" s="21"/>
      <c r="I61" s="20" t="s">
        <v>9</v>
      </c>
      <c r="J61" s="20" t="s">
        <v>66</v>
      </c>
      <c r="K61" s="20" t="s">
        <v>60</v>
      </c>
      <c r="L61" s="20" t="s">
        <v>62</v>
      </c>
      <c r="M61" s="33"/>
      <c r="N61" s="20" t="s">
        <v>9</v>
      </c>
      <c r="O61" s="20" t="s">
        <v>66</v>
      </c>
      <c r="P61" s="20" t="s">
        <v>60</v>
      </c>
      <c r="Q61" s="20" t="s">
        <v>62</v>
      </c>
      <c r="R61" s="21"/>
      <c r="S61" s="20" t="s">
        <v>9</v>
      </c>
      <c r="T61" s="20" t="s">
        <v>66</v>
      </c>
      <c r="U61" s="20" t="s">
        <v>60</v>
      </c>
      <c r="V61" s="20" t="s">
        <v>62</v>
      </c>
      <c r="W61" s="21"/>
      <c r="X61" s="20" t="s">
        <v>9</v>
      </c>
      <c r="Y61" s="20" t="s">
        <v>66</v>
      </c>
      <c r="Z61" s="20" t="s">
        <v>60</v>
      </c>
      <c r="AA61" s="42" t="s">
        <v>62</v>
      </c>
    </row>
    <row r="62" spans="1:27" ht="17" customHeight="1" outlineLevel="1" x14ac:dyDescent="0.2">
      <c r="B62" s="2"/>
      <c r="C62" s="1"/>
      <c r="D62" s="19" t="s">
        <v>16</v>
      </c>
      <c r="E62" s="19">
        <f>SUM(K70,P70,U70,Z70,AE70,AJ70)</f>
        <v>43</v>
      </c>
      <c r="F62" s="19">
        <f>SUM(L70,Q70,V70,AA70,AF70,AK70)</f>
        <v>69</v>
      </c>
      <c r="G62" s="19">
        <f>SUM(E62:F62)</f>
        <v>112</v>
      </c>
      <c r="H62" s="21"/>
      <c r="I62" s="20">
        <v>1</v>
      </c>
      <c r="J62" s="20">
        <f>SUM(K62:L62)</f>
        <v>7</v>
      </c>
      <c r="K62" s="20">
        <v>2</v>
      </c>
      <c r="L62" s="20">
        <v>5</v>
      </c>
      <c r="M62" s="33"/>
      <c r="N62" s="20">
        <v>1</v>
      </c>
      <c r="O62" s="20">
        <f>SUM(P62:Q62)</f>
        <v>3</v>
      </c>
      <c r="P62" s="20"/>
      <c r="Q62" s="20">
        <v>3</v>
      </c>
      <c r="R62" s="21"/>
      <c r="S62" s="20">
        <v>1</v>
      </c>
      <c r="T62" s="20">
        <f>SUM(U62:V62)</f>
        <v>4</v>
      </c>
      <c r="U62" s="20">
        <v>0</v>
      </c>
      <c r="V62" s="20">
        <v>4</v>
      </c>
      <c r="W62" s="21"/>
      <c r="X62" s="20">
        <v>1</v>
      </c>
      <c r="Y62" s="20">
        <f>SUM(Z62:AA62)</f>
        <v>5</v>
      </c>
      <c r="Z62" s="20">
        <v>2</v>
      </c>
      <c r="AA62" s="42">
        <v>3</v>
      </c>
    </row>
    <row r="63" spans="1:27" outlineLevel="1" x14ac:dyDescent="0.2">
      <c r="B63" s="2"/>
      <c r="C63" s="1"/>
      <c r="D63" s="19" t="s">
        <v>17</v>
      </c>
      <c r="E63" s="19">
        <v>70</v>
      </c>
      <c r="F63" s="19">
        <v>245</v>
      </c>
      <c r="G63" s="19">
        <f>SUM(E63:F63)</f>
        <v>315</v>
      </c>
      <c r="H63" s="21"/>
      <c r="I63" s="19">
        <v>2</v>
      </c>
      <c r="J63" s="20">
        <f t="shared" ref="J63:J70" si="12">SUM(K63:L63)</f>
        <v>10</v>
      </c>
      <c r="K63" s="19">
        <v>6</v>
      </c>
      <c r="L63" s="19">
        <v>4</v>
      </c>
      <c r="M63" s="33"/>
      <c r="N63" s="19">
        <v>2</v>
      </c>
      <c r="O63" s="20">
        <f t="shared" ref="O63:O70" si="13">SUM(P63:Q63)</f>
        <v>3</v>
      </c>
      <c r="P63" s="19"/>
      <c r="Q63" s="19">
        <v>3</v>
      </c>
      <c r="R63" s="21"/>
      <c r="S63" s="19">
        <v>2</v>
      </c>
      <c r="T63" s="20">
        <f t="shared" ref="T63:T70" si="14">SUM(U63:V63)</f>
        <v>6</v>
      </c>
      <c r="U63" s="19">
        <v>4</v>
      </c>
      <c r="V63" s="19">
        <v>2</v>
      </c>
      <c r="W63" s="21"/>
      <c r="X63" s="19">
        <v>2</v>
      </c>
      <c r="Y63" s="20">
        <f t="shared" ref="Y63:Y70" si="15">SUM(Z63:AA63)</f>
        <v>5</v>
      </c>
      <c r="Z63" s="19">
        <v>2</v>
      </c>
      <c r="AA63" s="43">
        <v>3</v>
      </c>
    </row>
    <row r="64" spans="1:27" outlineLevel="1" x14ac:dyDescent="0.2">
      <c r="B64" s="2"/>
      <c r="C64" s="1"/>
      <c r="D64" s="19" t="s">
        <v>40</v>
      </c>
      <c r="E64" s="22">
        <f>MIN(E62,E63)/MAX(E62,E63)</f>
        <v>0.61428571428571432</v>
      </c>
      <c r="F64" s="22">
        <f>MIN(F62,F63)/MAX(F62,F63)</f>
        <v>0.28163265306122448</v>
      </c>
      <c r="G64" s="22">
        <f>MIN(G62,G63)/MAX(G62,G63)</f>
        <v>0.35555555555555557</v>
      </c>
      <c r="H64" s="21"/>
      <c r="I64" s="19">
        <v>3</v>
      </c>
      <c r="J64" s="20">
        <f t="shared" si="12"/>
        <v>10</v>
      </c>
      <c r="K64" s="19"/>
      <c r="L64" s="19">
        <v>10</v>
      </c>
      <c r="M64" s="33"/>
      <c r="N64" s="19">
        <v>3</v>
      </c>
      <c r="O64" s="20">
        <f t="shared" si="13"/>
        <v>3</v>
      </c>
      <c r="P64" s="19">
        <v>3</v>
      </c>
      <c r="Q64" s="19">
        <v>0</v>
      </c>
      <c r="R64" s="21"/>
      <c r="S64" s="19">
        <v>3</v>
      </c>
      <c r="T64" s="20">
        <f t="shared" si="14"/>
        <v>6</v>
      </c>
      <c r="U64" s="19">
        <v>3</v>
      </c>
      <c r="V64" s="19">
        <v>3</v>
      </c>
      <c r="W64" s="21"/>
      <c r="X64" s="19">
        <v>3</v>
      </c>
      <c r="Y64" s="20">
        <f t="shared" si="15"/>
        <v>5</v>
      </c>
      <c r="Z64" s="19">
        <v>5</v>
      </c>
      <c r="AA64" s="43">
        <v>0</v>
      </c>
    </row>
    <row r="65" spans="2:27" outlineLevel="1" x14ac:dyDescent="0.2">
      <c r="B65" s="2"/>
      <c r="C65" s="1"/>
      <c r="D65" s="38"/>
      <c r="E65" s="38"/>
      <c r="F65" s="38"/>
      <c r="G65" s="38"/>
      <c r="I65" s="20">
        <v>4</v>
      </c>
      <c r="J65" s="20">
        <f t="shared" si="12"/>
        <v>10</v>
      </c>
      <c r="K65" s="19">
        <v>0</v>
      </c>
      <c r="L65" s="19">
        <v>10</v>
      </c>
      <c r="M65" s="33"/>
      <c r="N65" s="20">
        <v>4</v>
      </c>
      <c r="O65" s="20">
        <f t="shared" si="13"/>
        <v>3</v>
      </c>
      <c r="P65" s="19">
        <v>2</v>
      </c>
      <c r="Q65" s="19">
        <v>1</v>
      </c>
      <c r="R65" s="21"/>
      <c r="S65" s="20">
        <v>4</v>
      </c>
      <c r="T65" s="20">
        <f t="shared" si="14"/>
        <v>6</v>
      </c>
      <c r="U65" s="19">
        <v>3</v>
      </c>
      <c r="V65" s="19">
        <v>3</v>
      </c>
      <c r="W65" s="21"/>
      <c r="X65" s="20">
        <v>4</v>
      </c>
      <c r="Y65" s="20">
        <f t="shared" si="15"/>
        <v>5</v>
      </c>
      <c r="Z65" s="19">
        <v>2</v>
      </c>
      <c r="AA65" s="43">
        <v>3</v>
      </c>
    </row>
    <row r="66" spans="2:27" ht="18" customHeight="1" outlineLevel="1" x14ac:dyDescent="0.2">
      <c r="B66" s="2"/>
      <c r="C66" s="1"/>
      <c r="D66" s="19" t="s">
        <v>0</v>
      </c>
      <c r="E66" s="20" t="s">
        <v>63</v>
      </c>
      <c r="F66" s="20" t="s">
        <v>64</v>
      </c>
      <c r="G66" s="19" t="s">
        <v>37</v>
      </c>
      <c r="H66" s="21"/>
      <c r="I66" s="20">
        <v>5</v>
      </c>
      <c r="J66" s="20">
        <f t="shared" si="12"/>
        <v>10</v>
      </c>
      <c r="K66" s="19">
        <v>4</v>
      </c>
      <c r="L66" s="19">
        <v>6</v>
      </c>
      <c r="M66" s="33"/>
      <c r="N66" s="20">
        <v>5</v>
      </c>
      <c r="O66" s="20">
        <f t="shared" si="13"/>
        <v>1</v>
      </c>
      <c r="P66" s="19">
        <v>1</v>
      </c>
      <c r="Q66" s="19">
        <v>0</v>
      </c>
      <c r="R66" s="21"/>
      <c r="S66" s="20">
        <v>5</v>
      </c>
      <c r="T66" s="20">
        <f t="shared" si="14"/>
        <v>7</v>
      </c>
      <c r="U66" s="19">
        <v>2</v>
      </c>
      <c r="V66" s="19">
        <v>5</v>
      </c>
      <c r="W66" s="21"/>
      <c r="X66" s="20">
        <v>5</v>
      </c>
      <c r="Y66" s="20">
        <f t="shared" si="15"/>
        <v>2</v>
      </c>
      <c r="Z66" s="19">
        <v>2</v>
      </c>
      <c r="AA66" s="43">
        <v>0</v>
      </c>
    </row>
    <row r="67" spans="2:27" ht="18" customHeight="1" outlineLevel="1" x14ac:dyDescent="0.2">
      <c r="B67" s="2"/>
      <c r="C67" s="1"/>
      <c r="D67" s="19" t="s">
        <v>16</v>
      </c>
      <c r="E67" s="19">
        <f>SUM(P70,K70)</f>
        <v>18</v>
      </c>
      <c r="F67" s="19">
        <f>SUM(Q70,L70)</f>
        <v>43</v>
      </c>
      <c r="G67" s="19">
        <f>SUM(E67:F67)</f>
        <v>61</v>
      </c>
      <c r="H67" s="21"/>
      <c r="I67" s="20">
        <v>6</v>
      </c>
      <c r="J67" s="20">
        <f t="shared" si="12"/>
        <v>0</v>
      </c>
      <c r="K67" s="19"/>
      <c r="L67" s="19">
        <v>0</v>
      </c>
      <c r="M67" s="33"/>
      <c r="N67" s="20">
        <v>6</v>
      </c>
      <c r="O67" s="20">
        <f t="shared" si="13"/>
        <v>0</v>
      </c>
      <c r="P67" s="19"/>
      <c r="Q67" s="19">
        <v>0</v>
      </c>
      <c r="R67" s="21"/>
      <c r="S67" s="20">
        <v>6</v>
      </c>
      <c r="T67" s="20">
        <f t="shared" si="14"/>
        <v>0</v>
      </c>
      <c r="U67" s="19">
        <v>0</v>
      </c>
      <c r="V67" s="19">
        <v>0</v>
      </c>
      <c r="W67" s="21"/>
      <c r="X67" s="20">
        <v>6</v>
      </c>
      <c r="Y67" s="20">
        <f t="shared" si="15"/>
        <v>0</v>
      </c>
      <c r="Z67" s="19"/>
      <c r="AA67" s="43">
        <v>0</v>
      </c>
    </row>
    <row r="68" spans="2:27" outlineLevel="1" x14ac:dyDescent="0.2">
      <c r="B68" s="2"/>
      <c r="C68" s="1"/>
      <c r="D68" s="19" t="s">
        <v>17</v>
      </c>
      <c r="E68" s="19">
        <v>17</v>
      </c>
      <c r="F68" s="19">
        <v>60</v>
      </c>
      <c r="G68" s="19">
        <v>60</v>
      </c>
      <c r="H68" s="21"/>
      <c r="I68" s="20">
        <v>7</v>
      </c>
      <c r="J68" s="20">
        <f t="shared" si="12"/>
        <v>0</v>
      </c>
      <c r="K68" s="19"/>
      <c r="L68" s="19">
        <v>0</v>
      </c>
      <c r="M68" s="33"/>
      <c r="N68" s="20">
        <v>7</v>
      </c>
      <c r="O68" s="20">
        <f t="shared" si="13"/>
        <v>0</v>
      </c>
      <c r="P68" s="19"/>
      <c r="Q68" s="19"/>
      <c r="R68" s="21"/>
      <c r="S68" s="20">
        <v>7</v>
      </c>
      <c r="T68" s="20">
        <f t="shared" si="14"/>
        <v>0</v>
      </c>
      <c r="U68" s="19">
        <v>0</v>
      </c>
      <c r="V68" s="19">
        <v>0</v>
      </c>
      <c r="W68" s="21"/>
      <c r="X68" s="20">
        <v>7</v>
      </c>
      <c r="Y68" s="20">
        <f t="shared" si="15"/>
        <v>0</v>
      </c>
      <c r="Z68" s="19"/>
      <c r="AA68" s="43"/>
    </row>
    <row r="69" spans="2:27" outlineLevel="1" x14ac:dyDescent="0.2">
      <c r="B69" s="2"/>
      <c r="C69" s="1"/>
      <c r="D69" s="19" t="s">
        <v>40</v>
      </c>
      <c r="E69" s="22">
        <f>MIN(E67,E68)/MAX(E67,E68)</f>
        <v>0.94444444444444442</v>
      </c>
      <c r="F69" s="22">
        <f>MIN(F67,F68)/MAX(F67,F68)</f>
        <v>0.71666666666666667</v>
      </c>
      <c r="G69" s="22">
        <f>MIN(G67,G68)/MAX(G67,G68)</f>
        <v>0.98360655737704916</v>
      </c>
      <c r="H69" s="21"/>
      <c r="I69" s="19" t="s">
        <v>10</v>
      </c>
      <c r="J69" s="20">
        <f t="shared" si="12"/>
        <v>0</v>
      </c>
      <c r="K69" s="19"/>
      <c r="L69" s="19">
        <v>0</v>
      </c>
      <c r="M69" s="33"/>
      <c r="N69" s="19" t="s">
        <v>10</v>
      </c>
      <c r="O69" s="20">
        <f t="shared" si="13"/>
        <v>1</v>
      </c>
      <c r="P69" s="19"/>
      <c r="Q69" s="19">
        <v>1</v>
      </c>
      <c r="R69" s="21"/>
      <c r="S69" s="19" t="s">
        <v>10</v>
      </c>
      <c r="T69" s="20">
        <v>0</v>
      </c>
      <c r="U69" s="19">
        <v>0</v>
      </c>
      <c r="V69" s="19">
        <v>0</v>
      </c>
      <c r="W69" s="21"/>
      <c r="X69" s="19" t="s">
        <v>10</v>
      </c>
      <c r="Y69" s="20">
        <f t="shared" si="15"/>
        <v>0</v>
      </c>
      <c r="Z69" s="19"/>
      <c r="AA69" s="43">
        <v>0</v>
      </c>
    </row>
    <row r="70" spans="2:27" outlineLevel="1" x14ac:dyDescent="0.2">
      <c r="B70" s="2"/>
      <c r="C70" s="1"/>
      <c r="D70" s="38"/>
      <c r="E70" s="38"/>
      <c r="F70" s="38"/>
      <c r="G70" s="38"/>
      <c r="I70" s="19" t="s">
        <v>13</v>
      </c>
      <c r="J70" s="20">
        <f t="shared" si="12"/>
        <v>47</v>
      </c>
      <c r="K70" s="19">
        <f>0+SUM(K62:K69)</f>
        <v>12</v>
      </c>
      <c r="L70" s="19">
        <f>0+SUM(L62:L69)</f>
        <v>35</v>
      </c>
      <c r="M70" s="33"/>
      <c r="N70" s="19" t="s">
        <v>13</v>
      </c>
      <c r="O70" s="20">
        <f t="shared" si="13"/>
        <v>14</v>
      </c>
      <c r="P70" s="19">
        <f>SUM(P62:P69)</f>
        <v>6</v>
      </c>
      <c r="Q70" s="19">
        <f>SUM(Q62:Q69)</f>
        <v>8</v>
      </c>
      <c r="R70" s="21"/>
      <c r="S70" s="19" t="s">
        <v>13</v>
      </c>
      <c r="T70" s="20">
        <f t="shared" si="14"/>
        <v>29</v>
      </c>
      <c r="U70" s="19">
        <f>SUM(U62:U69)</f>
        <v>12</v>
      </c>
      <c r="V70" s="19">
        <f>SUM(V62:V69)</f>
        <v>17</v>
      </c>
      <c r="W70" s="21"/>
      <c r="X70" s="19" t="s">
        <v>13</v>
      </c>
      <c r="Y70" s="20">
        <f t="shared" si="15"/>
        <v>22</v>
      </c>
      <c r="Z70" s="19">
        <f>SUM(Z62:Z69)</f>
        <v>13</v>
      </c>
      <c r="AA70" s="43">
        <f>SUM(AA62:AA69)</f>
        <v>9</v>
      </c>
    </row>
    <row r="71" spans="2:27" outlineLevel="1" x14ac:dyDescent="0.2">
      <c r="B71" s="2"/>
      <c r="C71" s="1"/>
      <c r="I71" s="38"/>
      <c r="J71" s="39"/>
      <c r="K71" s="38"/>
      <c r="L71" s="38"/>
      <c r="M71" s="1"/>
      <c r="N71" s="38"/>
      <c r="O71" s="39"/>
      <c r="P71" s="38"/>
      <c r="Q71" s="38"/>
      <c r="S71" s="38"/>
      <c r="T71" s="39"/>
      <c r="U71" s="38"/>
      <c r="V71" s="38"/>
      <c r="X71" s="38"/>
      <c r="Y71" s="39"/>
      <c r="Z71" s="38"/>
      <c r="AA71" s="38"/>
    </row>
    <row r="72" spans="2:27" x14ac:dyDescent="0.2">
      <c r="B72" s="2"/>
      <c r="C72" s="1"/>
      <c r="D72" s="1"/>
      <c r="E72" s="1"/>
      <c r="F72" s="1"/>
      <c r="G72" s="1"/>
      <c r="H72" s="1"/>
      <c r="I72" s="1"/>
      <c r="J72" s="1"/>
      <c r="K72" s="1"/>
      <c r="L72" s="1"/>
      <c r="M72" s="1"/>
    </row>
    <row r="73" spans="2:27" ht="18" customHeight="1" x14ac:dyDescent="0.2">
      <c r="B73" s="2">
        <v>96</v>
      </c>
      <c r="C73" s="1"/>
      <c r="I73" s="20" t="s">
        <v>77</v>
      </c>
      <c r="J73" s="20">
        <v>1</v>
      </c>
      <c r="K73" s="20" t="s">
        <v>12</v>
      </c>
      <c r="L73" s="20" t="s">
        <v>15</v>
      </c>
      <c r="M73" s="33"/>
      <c r="N73" s="20" t="s">
        <v>77</v>
      </c>
      <c r="O73" s="20">
        <v>2</v>
      </c>
      <c r="P73" s="20" t="s">
        <v>12</v>
      </c>
      <c r="Q73" s="20" t="s">
        <v>14</v>
      </c>
      <c r="R73" s="21"/>
      <c r="S73" s="20" t="s">
        <v>77</v>
      </c>
      <c r="T73" s="20">
        <v>3</v>
      </c>
      <c r="U73" s="20" t="s">
        <v>12</v>
      </c>
      <c r="V73" s="20" t="s">
        <v>14</v>
      </c>
      <c r="W73" s="21"/>
      <c r="X73" s="20" t="s">
        <v>77</v>
      </c>
      <c r="Y73" s="20">
        <v>4</v>
      </c>
      <c r="Z73" s="20" t="s">
        <v>12</v>
      </c>
      <c r="AA73" s="42" t="s">
        <v>15</v>
      </c>
    </row>
    <row r="74" spans="2:27" outlineLevel="1" x14ac:dyDescent="0.2">
      <c r="B74" s="2"/>
      <c r="C74" s="1"/>
      <c r="I74" s="19" t="s">
        <v>11</v>
      </c>
      <c r="J74" s="35" t="s">
        <v>5</v>
      </c>
      <c r="K74" s="19"/>
      <c r="L74" s="19"/>
      <c r="M74" s="33"/>
      <c r="N74" s="19" t="s">
        <v>11</v>
      </c>
      <c r="O74" s="35" t="s">
        <v>7</v>
      </c>
      <c r="P74" s="19"/>
      <c r="Q74" s="19"/>
      <c r="R74" s="21"/>
      <c r="S74" s="19" t="s">
        <v>11</v>
      </c>
      <c r="T74" s="35" t="s">
        <v>6</v>
      </c>
      <c r="U74" s="19"/>
      <c r="V74" s="19"/>
      <c r="W74" s="21"/>
      <c r="X74" s="19" t="s">
        <v>11</v>
      </c>
      <c r="Y74" s="35" t="s">
        <v>8</v>
      </c>
      <c r="Z74" s="19"/>
      <c r="AA74" s="43"/>
    </row>
    <row r="75" spans="2:27" ht="15" customHeight="1" outlineLevel="1" x14ac:dyDescent="0.2">
      <c r="B75" s="2"/>
      <c r="C75" s="1"/>
      <c r="D75" s="19"/>
      <c r="E75" s="19" t="s">
        <v>60</v>
      </c>
      <c r="F75" s="20" t="s">
        <v>61</v>
      </c>
      <c r="G75" s="19" t="s">
        <v>43</v>
      </c>
      <c r="H75" s="21"/>
      <c r="I75" s="20" t="s">
        <v>9</v>
      </c>
      <c r="J75" s="20" t="s">
        <v>66</v>
      </c>
      <c r="K75" s="20" t="s">
        <v>60</v>
      </c>
      <c r="L75" s="20" t="s">
        <v>62</v>
      </c>
      <c r="M75" s="33"/>
      <c r="N75" s="20" t="s">
        <v>9</v>
      </c>
      <c r="O75" s="20" t="s">
        <v>66</v>
      </c>
      <c r="P75" s="20" t="s">
        <v>60</v>
      </c>
      <c r="Q75" s="20" t="s">
        <v>62</v>
      </c>
      <c r="R75" s="21"/>
      <c r="S75" s="20" t="s">
        <v>9</v>
      </c>
      <c r="T75" s="20" t="s">
        <v>66</v>
      </c>
      <c r="U75" s="20" t="s">
        <v>60</v>
      </c>
      <c r="V75" s="20" t="s">
        <v>62</v>
      </c>
      <c r="W75" s="21"/>
      <c r="X75" s="20" t="s">
        <v>9</v>
      </c>
      <c r="Y75" s="20" t="s">
        <v>66</v>
      </c>
      <c r="Z75" s="20" t="s">
        <v>60</v>
      </c>
      <c r="AA75" s="42" t="s">
        <v>62</v>
      </c>
    </row>
    <row r="76" spans="2:27" outlineLevel="1" x14ac:dyDescent="0.2">
      <c r="B76" s="2"/>
      <c r="C76" s="1"/>
      <c r="D76" s="19" t="s">
        <v>16</v>
      </c>
      <c r="E76" s="19">
        <f>SUM(K84,P84,U84,Z84,AE84,AJ84)</f>
        <v>4</v>
      </c>
      <c r="F76" s="19">
        <f>SUM(L84,Q84,V84,AA84,AF84,AK84)</f>
        <v>134</v>
      </c>
      <c r="G76" s="19">
        <f>SUM(E76:F76)</f>
        <v>138</v>
      </c>
      <c r="H76" s="21"/>
      <c r="I76" s="20">
        <v>1</v>
      </c>
      <c r="J76" s="20">
        <f>SUM(K76:L76)</f>
        <v>7</v>
      </c>
      <c r="K76" s="20">
        <v>0</v>
      </c>
      <c r="L76" s="20">
        <v>7</v>
      </c>
      <c r="M76" s="33"/>
      <c r="N76" s="20">
        <v>1</v>
      </c>
      <c r="O76" s="20">
        <f>SUM(P76:Q76)</f>
        <v>3</v>
      </c>
      <c r="P76" s="20">
        <v>0</v>
      </c>
      <c r="Q76" s="20">
        <v>3</v>
      </c>
      <c r="R76" s="21"/>
      <c r="S76" s="20">
        <v>1</v>
      </c>
      <c r="T76" s="20">
        <f>SUM(U76:V76)</f>
        <v>2</v>
      </c>
      <c r="U76" s="20">
        <v>0</v>
      </c>
      <c r="V76" s="20">
        <v>2</v>
      </c>
      <c r="W76" s="21"/>
      <c r="X76" s="20">
        <v>1</v>
      </c>
      <c r="Y76" s="20">
        <f>SUM(Z76:AA76)</f>
        <v>8</v>
      </c>
      <c r="Z76" s="20">
        <v>0</v>
      </c>
      <c r="AA76" s="42">
        <v>8</v>
      </c>
    </row>
    <row r="77" spans="2:27" outlineLevel="1" x14ac:dyDescent="0.2">
      <c r="B77" s="2"/>
      <c r="C77" s="1"/>
      <c r="D77" s="19" t="s">
        <v>17</v>
      </c>
      <c r="E77" s="19">
        <v>0</v>
      </c>
      <c r="F77" s="19">
        <v>113</v>
      </c>
      <c r="G77" s="19">
        <v>113</v>
      </c>
      <c r="H77" s="21"/>
      <c r="I77" s="19">
        <v>2</v>
      </c>
      <c r="J77" s="20">
        <f t="shared" ref="J77:J84" si="16">SUM(K77:L77)</f>
        <v>9</v>
      </c>
      <c r="K77" s="19">
        <v>0</v>
      </c>
      <c r="L77" s="19">
        <v>9</v>
      </c>
      <c r="M77" s="33"/>
      <c r="N77" s="19">
        <v>2</v>
      </c>
      <c r="O77" s="20">
        <f t="shared" ref="O77:O84" si="17">SUM(P77:Q77)</f>
        <v>4</v>
      </c>
      <c r="P77" s="19">
        <v>0</v>
      </c>
      <c r="Q77" s="19">
        <v>4</v>
      </c>
      <c r="R77" s="21"/>
      <c r="S77" s="19">
        <v>2</v>
      </c>
      <c r="T77" s="20">
        <f t="shared" ref="T77:T84" si="18">SUM(U77:V77)</f>
        <v>3</v>
      </c>
      <c r="U77" s="19">
        <v>0</v>
      </c>
      <c r="V77" s="19">
        <v>3</v>
      </c>
      <c r="W77" s="21"/>
      <c r="X77" s="19">
        <v>2</v>
      </c>
      <c r="Y77" s="20">
        <f t="shared" ref="Y77:Y84" si="19">SUM(Z77:AA77)</f>
        <v>8</v>
      </c>
      <c r="Z77" s="19">
        <v>0</v>
      </c>
      <c r="AA77" s="43">
        <v>8</v>
      </c>
    </row>
    <row r="78" spans="2:27" outlineLevel="1" x14ac:dyDescent="0.2">
      <c r="B78" s="2"/>
      <c r="C78" s="1"/>
      <c r="D78" s="19" t="s">
        <v>40</v>
      </c>
      <c r="E78" s="22">
        <f>MIN(E76,E77)/MAX(E76,E77)</f>
        <v>0</v>
      </c>
      <c r="F78" s="22">
        <f>MIN(F76,F77)/MAX(F76,F77)</f>
        <v>0.84328358208955223</v>
      </c>
      <c r="G78" s="22">
        <f>MIN(G76,G77)/MAX(G76,G77)</f>
        <v>0.8188405797101449</v>
      </c>
      <c r="H78" s="21"/>
      <c r="I78" s="19">
        <v>3</v>
      </c>
      <c r="J78" s="20">
        <f t="shared" si="16"/>
        <v>9</v>
      </c>
      <c r="K78" s="19">
        <v>2</v>
      </c>
      <c r="L78" s="19">
        <v>7</v>
      </c>
      <c r="M78" s="33"/>
      <c r="N78" s="19">
        <v>3</v>
      </c>
      <c r="O78" s="20">
        <f t="shared" si="17"/>
        <v>4</v>
      </c>
      <c r="P78" s="19">
        <v>0</v>
      </c>
      <c r="Q78" s="19">
        <v>4</v>
      </c>
      <c r="R78" s="21"/>
      <c r="S78" s="19">
        <v>3</v>
      </c>
      <c r="T78" s="20">
        <f t="shared" si="18"/>
        <v>3</v>
      </c>
      <c r="U78" s="19">
        <v>0</v>
      </c>
      <c r="V78" s="19">
        <v>3</v>
      </c>
      <c r="W78" s="21"/>
      <c r="X78" s="19">
        <v>3</v>
      </c>
      <c r="Y78" s="20">
        <f t="shared" si="19"/>
        <v>8</v>
      </c>
      <c r="Z78" s="19">
        <v>0</v>
      </c>
      <c r="AA78" s="43">
        <v>8</v>
      </c>
    </row>
    <row r="79" spans="2:27" ht="17" customHeight="1" outlineLevel="1" x14ac:dyDescent="0.2">
      <c r="B79" s="2"/>
      <c r="C79" s="1"/>
      <c r="D79" s="38"/>
      <c r="E79" s="38"/>
      <c r="F79" s="38"/>
      <c r="G79" s="38"/>
      <c r="I79" s="20">
        <v>4</v>
      </c>
      <c r="J79" s="20">
        <f t="shared" si="16"/>
        <v>9</v>
      </c>
      <c r="K79" s="19">
        <v>1</v>
      </c>
      <c r="L79" s="19">
        <v>8</v>
      </c>
      <c r="M79" s="33"/>
      <c r="N79" s="20">
        <v>4</v>
      </c>
      <c r="O79" s="20">
        <f t="shared" si="17"/>
        <v>4</v>
      </c>
      <c r="P79" s="19">
        <v>0</v>
      </c>
      <c r="Q79" s="19">
        <v>4</v>
      </c>
      <c r="R79" s="21"/>
      <c r="S79" s="20">
        <v>4</v>
      </c>
      <c r="T79" s="20">
        <f t="shared" si="18"/>
        <v>3</v>
      </c>
      <c r="U79" s="19">
        <v>0</v>
      </c>
      <c r="V79" s="19">
        <v>3</v>
      </c>
      <c r="W79" s="21"/>
      <c r="X79" s="20">
        <v>4</v>
      </c>
      <c r="Y79" s="20">
        <f t="shared" si="19"/>
        <v>8</v>
      </c>
      <c r="Z79" s="19">
        <v>1</v>
      </c>
      <c r="AA79" s="43">
        <v>7</v>
      </c>
    </row>
    <row r="80" spans="2:27" ht="18" customHeight="1" outlineLevel="1" x14ac:dyDescent="0.2">
      <c r="B80" s="2"/>
      <c r="C80" s="1"/>
      <c r="D80" s="19" t="s">
        <v>0</v>
      </c>
      <c r="E80" s="20" t="s">
        <v>63</v>
      </c>
      <c r="F80" s="20" t="s">
        <v>64</v>
      </c>
      <c r="G80" s="19" t="s">
        <v>37</v>
      </c>
      <c r="H80" s="21"/>
      <c r="I80" s="20">
        <v>5</v>
      </c>
      <c r="J80" s="20">
        <f t="shared" si="16"/>
        <v>0</v>
      </c>
      <c r="K80" s="19">
        <v>0</v>
      </c>
      <c r="L80" s="19">
        <v>0</v>
      </c>
      <c r="M80" s="33"/>
      <c r="N80" s="20">
        <v>5</v>
      </c>
      <c r="O80" s="20">
        <f t="shared" si="17"/>
        <v>4</v>
      </c>
      <c r="P80" s="19">
        <v>0</v>
      </c>
      <c r="Q80" s="19">
        <v>4</v>
      </c>
      <c r="R80" s="21"/>
      <c r="S80" s="20">
        <v>5</v>
      </c>
      <c r="T80" s="20">
        <f t="shared" si="18"/>
        <v>1</v>
      </c>
      <c r="U80" s="19">
        <v>0</v>
      </c>
      <c r="V80" s="19">
        <v>1</v>
      </c>
      <c r="W80" s="21"/>
      <c r="X80" s="20">
        <v>5</v>
      </c>
      <c r="Y80" s="20">
        <f t="shared" si="19"/>
        <v>0</v>
      </c>
      <c r="Z80" s="19">
        <v>0</v>
      </c>
      <c r="AA80" s="43">
        <v>0</v>
      </c>
    </row>
    <row r="81" spans="2:27" outlineLevel="1" x14ac:dyDescent="0.2">
      <c r="B81" s="2"/>
      <c r="C81" s="1"/>
      <c r="D81" s="19" t="s">
        <v>16</v>
      </c>
      <c r="E81" s="19">
        <f>SUM(Z84,K84)</f>
        <v>4</v>
      </c>
      <c r="F81" s="19">
        <f>SUM(AA84,L84)</f>
        <v>101</v>
      </c>
      <c r="G81" s="19">
        <f>SUM(E81:F81)</f>
        <v>105</v>
      </c>
      <c r="H81" s="21"/>
      <c r="I81" s="20">
        <v>6</v>
      </c>
      <c r="J81" s="20">
        <f t="shared" si="16"/>
        <v>0</v>
      </c>
      <c r="K81" s="19">
        <v>0</v>
      </c>
      <c r="L81" s="19">
        <v>0</v>
      </c>
      <c r="M81" s="33"/>
      <c r="N81" s="20">
        <v>6</v>
      </c>
      <c r="O81" s="20">
        <f t="shared" si="17"/>
        <v>0</v>
      </c>
      <c r="P81" s="19">
        <v>0</v>
      </c>
      <c r="Q81" s="19">
        <v>0</v>
      </c>
      <c r="R81" s="21"/>
      <c r="S81" s="20">
        <v>6</v>
      </c>
      <c r="T81" s="20">
        <f t="shared" si="18"/>
        <v>0</v>
      </c>
      <c r="U81" s="19">
        <v>0</v>
      </c>
      <c r="V81" s="19">
        <v>0</v>
      </c>
      <c r="W81" s="21"/>
      <c r="X81" s="20">
        <v>6</v>
      </c>
      <c r="Y81" s="20">
        <f t="shared" si="19"/>
        <v>0</v>
      </c>
      <c r="Z81" s="19">
        <v>0</v>
      </c>
      <c r="AA81" s="43">
        <v>0</v>
      </c>
    </row>
    <row r="82" spans="2:27" outlineLevel="1" x14ac:dyDescent="0.2">
      <c r="B82" s="2"/>
      <c r="C82" s="1"/>
      <c r="D82" s="19" t="s">
        <v>17</v>
      </c>
      <c r="E82" s="19">
        <v>0</v>
      </c>
      <c r="F82" s="19">
        <v>77</v>
      </c>
      <c r="G82" s="19">
        <f>SUM(E82:F82)</f>
        <v>77</v>
      </c>
      <c r="H82" s="21"/>
      <c r="I82" s="20">
        <v>7</v>
      </c>
      <c r="J82" s="20">
        <f t="shared" si="16"/>
        <v>0</v>
      </c>
      <c r="K82" s="19">
        <v>0</v>
      </c>
      <c r="L82" s="19">
        <v>0</v>
      </c>
      <c r="M82" s="33"/>
      <c r="N82" s="20">
        <v>7</v>
      </c>
      <c r="O82" s="20">
        <f t="shared" si="17"/>
        <v>0</v>
      </c>
      <c r="P82" s="19">
        <v>0</v>
      </c>
      <c r="Q82" s="19">
        <v>0</v>
      </c>
      <c r="R82" s="21"/>
      <c r="S82" s="20">
        <v>7</v>
      </c>
      <c r="T82" s="20">
        <f t="shared" si="18"/>
        <v>0</v>
      </c>
      <c r="U82" s="19">
        <v>0</v>
      </c>
      <c r="V82" s="19">
        <v>0</v>
      </c>
      <c r="W82" s="21"/>
      <c r="X82" s="20">
        <v>7</v>
      </c>
      <c r="Y82" s="20">
        <f t="shared" si="19"/>
        <v>0</v>
      </c>
      <c r="Z82" s="19">
        <v>0</v>
      </c>
      <c r="AA82" s="43">
        <v>0</v>
      </c>
    </row>
    <row r="83" spans="2:27" ht="16" outlineLevel="1" x14ac:dyDescent="0.2">
      <c r="B83" s="2" t="s">
        <v>88</v>
      </c>
      <c r="C83" s="1"/>
      <c r="D83" s="19" t="s">
        <v>40</v>
      </c>
      <c r="E83" s="22">
        <f>MIN(E81,E82)/MAX(E81,E82)</f>
        <v>0</v>
      </c>
      <c r="F83" s="22">
        <f>MIN(F81,F82)/MAX(F81,F82)</f>
        <v>0.76237623762376239</v>
      </c>
      <c r="G83" s="22">
        <f>MIN(G81,G82)/MAX(G81,G82)</f>
        <v>0.73333333333333328</v>
      </c>
      <c r="H83" s="21"/>
      <c r="I83" s="19" t="s">
        <v>10</v>
      </c>
      <c r="J83" s="20">
        <f t="shared" si="16"/>
        <v>20</v>
      </c>
      <c r="K83" s="19">
        <v>0</v>
      </c>
      <c r="L83" s="19">
        <v>20</v>
      </c>
      <c r="M83" s="33"/>
      <c r="N83" s="19" t="s">
        <v>10</v>
      </c>
      <c r="O83" s="20">
        <f t="shared" si="17"/>
        <v>1</v>
      </c>
      <c r="P83" s="19">
        <v>0</v>
      </c>
      <c r="Q83" s="19">
        <v>1</v>
      </c>
      <c r="R83" s="21"/>
      <c r="S83" s="19" t="s">
        <v>10</v>
      </c>
      <c r="T83" s="20">
        <f t="shared" si="18"/>
        <v>1</v>
      </c>
      <c r="U83" s="19">
        <v>0</v>
      </c>
      <c r="V83" s="19">
        <v>1</v>
      </c>
      <c r="W83" s="21"/>
      <c r="X83" s="19" t="s">
        <v>10</v>
      </c>
      <c r="Y83" s="20">
        <f t="shared" si="19"/>
        <v>19</v>
      </c>
      <c r="Z83" s="19">
        <v>0</v>
      </c>
      <c r="AA83" s="43">
        <v>19</v>
      </c>
    </row>
    <row r="84" spans="2:27" outlineLevel="1" x14ac:dyDescent="0.2">
      <c r="B84" s="2"/>
      <c r="C84" s="1"/>
      <c r="D84" s="38"/>
      <c r="E84" s="38"/>
      <c r="F84" s="38"/>
      <c r="G84" s="38"/>
      <c r="I84" s="19" t="s">
        <v>13</v>
      </c>
      <c r="J84" s="20">
        <f t="shared" si="16"/>
        <v>54</v>
      </c>
      <c r="K84" s="19">
        <f>SUM(K76:K83)</f>
        <v>3</v>
      </c>
      <c r="L84" s="19">
        <f>SUM(L76:L83)</f>
        <v>51</v>
      </c>
      <c r="M84" s="33"/>
      <c r="N84" s="19" t="s">
        <v>13</v>
      </c>
      <c r="O84" s="20">
        <f t="shared" si="17"/>
        <v>20</v>
      </c>
      <c r="P84" s="19">
        <f>SUM(P76:P83)</f>
        <v>0</v>
      </c>
      <c r="Q84" s="19">
        <f>SUM(Q76:Q83)</f>
        <v>20</v>
      </c>
      <c r="R84" s="21"/>
      <c r="S84" s="19" t="s">
        <v>13</v>
      </c>
      <c r="T84" s="20">
        <f t="shared" si="18"/>
        <v>13</v>
      </c>
      <c r="U84" s="19">
        <f>SUM(U76:U83)</f>
        <v>0</v>
      </c>
      <c r="V84" s="19">
        <f>SUM(V76:V83)</f>
        <v>13</v>
      </c>
      <c r="W84" s="21"/>
      <c r="X84" s="19" t="s">
        <v>13</v>
      </c>
      <c r="Y84" s="20">
        <f t="shared" si="19"/>
        <v>51</v>
      </c>
      <c r="Z84" s="19">
        <f>SUM(Z76:Z83)</f>
        <v>1</v>
      </c>
      <c r="AA84" s="43">
        <f>SUM(AA76:AA83)</f>
        <v>50</v>
      </c>
    </row>
    <row r="85" spans="2:27" ht="16" outlineLevel="1" thickBot="1" x14ac:dyDescent="0.25">
      <c r="B85" s="2"/>
      <c r="C85" s="1"/>
      <c r="D85" s="1"/>
      <c r="E85" s="1"/>
      <c r="F85" s="1"/>
      <c r="G85" s="1"/>
      <c r="H85" s="1"/>
      <c r="I85" s="39"/>
      <c r="J85" s="39"/>
      <c r="K85" s="39"/>
      <c r="L85" s="39"/>
      <c r="M85" s="1"/>
      <c r="N85" s="38"/>
      <c r="O85" s="38"/>
      <c r="P85" s="38"/>
      <c r="Q85" s="38"/>
      <c r="S85" s="38"/>
      <c r="T85" s="38"/>
      <c r="U85" s="38"/>
      <c r="V85" s="38"/>
      <c r="X85" s="38"/>
      <c r="Y85" s="38"/>
      <c r="Z85" s="38"/>
      <c r="AA85" s="38"/>
    </row>
    <row r="86" spans="2:27" x14ac:dyDescent="0.2">
      <c r="B86" s="2"/>
      <c r="C86" s="1"/>
      <c r="D86" s="81" t="s">
        <v>50</v>
      </c>
      <c r="E86" s="82"/>
      <c r="F86" s="82"/>
      <c r="G86" s="83"/>
      <c r="H86" s="1"/>
      <c r="I86" s="1"/>
      <c r="J86" s="1"/>
      <c r="K86" s="1"/>
      <c r="L86" s="1"/>
      <c r="M86" s="1"/>
    </row>
    <row r="87" spans="2:27" ht="16" x14ac:dyDescent="0.2">
      <c r="B87" s="2"/>
      <c r="C87" s="1"/>
      <c r="D87" s="18" t="s">
        <v>38</v>
      </c>
      <c r="E87" s="19" t="s">
        <v>60</v>
      </c>
      <c r="F87" s="20" t="s">
        <v>61</v>
      </c>
      <c r="G87" s="68" t="s">
        <v>43</v>
      </c>
      <c r="I87" s="1"/>
      <c r="J87" s="1"/>
      <c r="K87" s="1"/>
      <c r="L87" s="1"/>
      <c r="M87" s="1"/>
      <c r="N87" s="1"/>
      <c r="O87" s="1"/>
      <c r="P87" s="1"/>
      <c r="Q87" s="1"/>
      <c r="S87" s="1"/>
      <c r="T87" s="1"/>
      <c r="U87" s="1"/>
      <c r="V87" s="1"/>
      <c r="X87" s="1"/>
      <c r="Y87" s="1"/>
      <c r="Z87" s="1"/>
      <c r="AA87" s="1"/>
    </row>
    <row r="88" spans="2:27" outlineLevel="1" x14ac:dyDescent="0.2">
      <c r="B88" s="2"/>
      <c r="C88" s="1"/>
      <c r="D88" s="18" t="s">
        <v>16</v>
      </c>
      <c r="E88" s="19">
        <f>SUM(E76,E62,E35,E21,E7)</f>
        <v>113</v>
      </c>
      <c r="F88" s="19">
        <f>SUM(F76,F62,F35,F21,F7)</f>
        <v>538</v>
      </c>
      <c r="G88" s="68">
        <f>SUM(E88:F88)</f>
        <v>651</v>
      </c>
      <c r="M88" s="1"/>
    </row>
    <row r="89" spans="2:27" outlineLevel="1" x14ac:dyDescent="0.2">
      <c r="B89" s="2"/>
      <c r="C89" s="1"/>
      <c r="D89" s="18" t="s">
        <v>17</v>
      </c>
      <c r="E89" s="19">
        <f>SUM(E77,E63,E36,E22,E8)</f>
        <v>175.9</v>
      </c>
      <c r="F89" s="19">
        <f>SUM(F77,F63,F36,F22,F8)</f>
        <v>844.6</v>
      </c>
      <c r="G89" s="68">
        <f>SUM(E89:F89)</f>
        <v>1020.5</v>
      </c>
      <c r="I89" s="1"/>
      <c r="J89" s="1"/>
      <c r="K89" s="1"/>
      <c r="L89" s="1"/>
      <c r="M89" s="1"/>
      <c r="N89" s="1"/>
      <c r="O89" s="1"/>
      <c r="P89" s="1"/>
      <c r="Q89" s="1"/>
      <c r="S89" s="1"/>
      <c r="T89" s="1"/>
      <c r="U89" s="1"/>
      <c r="V89" s="1"/>
      <c r="X89" s="1"/>
      <c r="Y89" s="1"/>
      <c r="Z89" s="1"/>
      <c r="AA89" s="1"/>
    </row>
    <row r="90" spans="2:27" outlineLevel="1" x14ac:dyDescent="0.2">
      <c r="B90" s="2"/>
      <c r="C90" s="1"/>
      <c r="D90" s="18" t="s">
        <v>40</v>
      </c>
      <c r="E90" s="22">
        <f>MIN(E88,E89)/MAX(E88,E89)</f>
        <v>0.64241046048891415</v>
      </c>
      <c r="F90" s="22">
        <f>MIN(F88,F89)/MAX(F88,F89)</f>
        <v>0.63698792327729103</v>
      </c>
      <c r="G90" s="71">
        <f>MIN(G88,G89)/MAX(G88,G89)</f>
        <v>0.63792258696717297</v>
      </c>
      <c r="I90" s="1"/>
      <c r="J90" s="1"/>
      <c r="K90" s="1"/>
      <c r="L90" s="1"/>
      <c r="M90" s="1"/>
      <c r="N90" s="1"/>
      <c r="O90" s="1"/>
      <c r="P90" s="1"/>
      <c r="Q90" s="1"/>
      <c r="S90" s="1"/>
      <c r="T90" s="1"/>
      <c r="U90" s="1"/>
      <c r="V90" s="1"/>
      <c r="X90" s="1"/>
      <c r="Y90" s="1"/>
      <c r="Z90" s="1"/>
      <c r="AA90" s="1"/>
    </row>
    <row r="91" spans="2:27" outlineLevel="1" x14ac:dyDescent="0.2">
      <c r="B91" s="2"/>
      <c r="C91" s="1"/>
      <c r="D91" s="18"/>
      <c r="E91" s="19"/>
      <c r="F91" s="19"/>
      <c r="G91" s="68"/>
      <c r="J91" s="1"/>
      <c r="M91" s="1"/>
      <c r="O91" s="1"/>
      <c r="T91" s="1"/>
      <c r="Y91" s="1"/>
    </row>
    <row r="92" spans="2:27" ht="19" customHeight="1" outlineLevel="1" x14ac:dyDescent="0.2">
      <c r="B92" s="2"/>
      <c r="C92" s="1"/>
      <c r="D92" s="18" t="s">
        <v>39</v>
      </c>
      <c r="E92" s="20" t="s">
        <v>63</v>
      </c>
      <c r="F92" s="20" t="s">
        <v>64</v>
      </c>
      <c r="G92" s="69" t="s">
        <v>37</v>
      </c>
      <c r="J92" s="1"/>
      <c r="M92" s="1"/>
      <c r="O92" s="1"/>
      <c r="T92" s="1"/>
      <c r="Y92" s="1"/>
    </row>
    <row r="93" spans="2:27" outlineLevel="1" x14ac:dyDescent="0.2">
      <c r="B93" s="2"/>
      <c r="C93" s="1"/>
      <c r="D93" s="18" t="s">
        <v>16</v>
      </c>
      <c r="E93" s="19">
        <f>SUM(E81,E67,E40,E26,E12)</f>
        <v>67</v>
      </c>
      <c r="F93" s="19">
        <f>SUM(F81,F67,F40,F26,F12)</f>
        <v>375</v>
      </c>
      <c r="G93" s="68">
        <f>SUM(E93:F93)</f>
        <v>442</v>
      </c>
      <c r="I93" s="1"/>
      <c r="J93" s="1"/>
      <c r="M93" s="1"/>
      <c r="N93" s="1"/>
      <c r="O93" s="1"/>
      <c r="S93" s="1"/>
      <c r="T93" s="1"/>
      <c r="X93" s="1"/>
      <c r="Y93" s="1"/>
    </row>
    <row r="94" spans="2:27" outlineLevel="1" x14ac:dyDescent="0.2">
      <c r="B94" s="2"/>
      <c r="C94" s="1"/>
      <c r="D94" s="18" t="s">
        <v>17</v>
      </c>
      <c r="E94" s="19">
        <f>SUM(E82,E68,E41,E27,E13)</f>
        <v>87</v>
      </c>
      <c r="F94" s="19">
        <f>SUM(F82,F68,F41,F27,F13)</f>
        <v>438</v>
      </c>
      <c r="G94" s="68">
        <f>SUM(E94:F94)</f>
        <v>525</v>
      </c>
      <c r="I94" s="1"/>
      <c r="J94" s="1"/>
      <c r="M94" s="1"/>
      <c r="N94" s="1"/>
      <c r="O94" s="1"/>
      <c r="S94" s="1"/>
      <c r="T94" s="1"/>
      <c r="X94" s="1"/>
      <c r="Y94" s="1"/>
    </row>
    <row r="95" spans="2:27" ht="16" outlineLevel="1" thickBot="1" x14ac:dyDescent="0.25">
      <c r="B95" s="2"/>
      <c r="C95" s="1"/>
      <c r="D95" s="18" t="s">
        <v>40</v>
      </c>
      <c r="E95" s="22">
        <f>MIN(E93,E94)/MAX(E93,E94)</f>
        <v>0.77011494252873558</v>
      </c>
      <c r="F95" s="22">
        <f>MIN(F93,F94)/MAX(F93,F94)</f>
        <v>0.85616438356164382</v>
      </c>
      <c r="G95" s="70">
        <f>MIN(G93,G94)/MAX(G93,G94)</f>
        <v>0.84190476190476193</v>
      </c>
      <c r="I95" s="1"/>
      <c r="J95" s="1"/>
      <c r="M95" s="1"/>
      <c r="N95" s="1"/>
      <c r="O95" s="1"/>
      <c r="S95" s="1"/>
      <c r="T95" s="1"/>
      <c r="X95" s="1"/>
      <c r="Y95" s="1"/>
    </row>
    <row r="96" spans="2:27" outlineLevel="1" x14ac:dyDescent="0.2">
      <c r="B96" s="2"/>
      <c r="C96" s="1"/>
      <c r="D96" s="25"/>
      <c r="E96" s="25"/>
      <c r="F96" s="25"/>
      <c r="G96" s="25"/>
      <c r="I96" s="1"/>
      <c r="J96" s="1"/>
      <c r="M96" s="1"/>
      <c r="N96" s="1"/>
      <c r="O96" s="1"/>
      <c r="S96" s="1"/>
      <c r="T96" s="1"/>
      <c r="X96" s="1"/>
      <c r="Y96" s="1"/>
    </row>
    <row r="97" spans="2:27" outlineLevel="1" x14ac:dyDescent="0.2">
      <c r="B97" s="2"/>
      <c r="C97" s="1"/>
      <c r="J97" s="1"/>
      <c r="M97" s="1"/>
      <c r="O97" s="1"/>
      <c r="T97" s="1"/>
      <c r="Y97" s="1"/>
    </row>
    <row r="98" spans="2:27" outlineLevel="1" x14ac:dyDescent="0.2">
      <c r="B98" s="2"/>
      <c r="C98" s="1"/>
      <c r="M98" s="1"/>
    </row>
    <row r="99" spans="2:27" outlineLevel="1" x14ac:dyDescent="0.2">
      <c r="B99" s="2"/>
      <c r="C99" s="1"/>
      <c r="D99" s="1"/>
      <c r="E99" s="1"/>
      <c r="F99" s="1"/>
      <c r="G99" s="1"/>
      <c r="H99" s="1"/>
      <c r="I99" s="1"/>
      <c r="J99" s="1"/>
      <c r="K99" s="1"/>
      <c r="L99" s="1"/>
      <c r="M99" s="1"/>
    </row>
    <row r="100" spans="2:27" outlineLevel="1" x14ac:dyDescent="0.2">
      <c r="B100" s="2"/>
      <c r="C100" s="1"/>
      <c r="D100" s="1"/>
      <c r="E100" s="1"/>
      <c r="F100" s="1"/>
      <c r="G100" s="1"/>
      <c r="H100" s="1"/>
      <c r="I100" s="1"/>
      <c r="J100" s="1"/>
      <c r="K100" s="1"/>
      <c r="L100" s="1"/>
      <c r="M100" s="1"/>
    </row>
    <row r="101" spans="2:27" x14ac:dyDescent="0.2">
      <c r="B101" s="2"/>
      <c r="C101" s="1"/>
      <c r="D101" s="1"/>
      <c r="E101" s="1"/>
      <c r="F101" s="1"/>
      <c r="G101" s="1"/>
      <c r="H101" s="1"/>
      <c r="I101" s="1"/>
      <c r="J101" s="1"/>
      <c r="K101" s="1"/>
      <c r="L101" s="1"/>
      <c r="M101" s="1"/>
    </row>
    <row r="102" spans="2:27" x14ac:dyDescent="0.2">
      <c r="B102" s="2"/>
      <c r="I102" s="1"/>
      <c r="J102" s="1"/>
      <c r="K102" s="1"/>
      <c r="L102" s="1"/>
      <c r="M102" s="1"/>
      <c r="N102" s="1"/>
      <c r="O102" s="1"/>
      <c r="P102" s="1"/>
      <c r="Q102" s="1"/>
      <c r="S102" s="1"/>
      <c r="T102" s="1"/>
      <c r="U102" s="1"/>
      <c r="V102" s="1"/>
      <c r="X102" s="1"/>
      <c r="Y102" s="1"/>
      <c r="Z102" s="1"/>
      <c r="AA102" s="1"/>
    </row>
    <row r="103" spans="2:27" outlineLevel="1" x14ac:dyDescent="0.2">
      <c r="B103" s="2"/>
      <c r="M103" s="1"/>
    </row>
    <row r="104" spans="2:27" outlineLevel="1" x14ac:dyDescent="0.2">
      <c r="B104" s="2"/>
      <c r="F104" s="1"/>
      <c r="I104" s="1"/>
      <c r="J104" s="1"/>
      <c r="K104" s="1"/>
      <c r="L104" s="1"/>
      <c r="M104" s="1"/>
      <c r="N104" s="1"/>
      <c r="O104" s="1"/>
      <c r="P104" s="1"/>
      <c r="Q104" s="1"/>
      <c r="S104" s="1"/>
      <c r="T104" s="1"/>
      <c r="U104" s="1"/>
      <c r="V104" s="1"/>
      <c r="X104" s="1"/>
      <c r="Y104" s="1"/>
      <c r="Z104" s="1"/>
      <c r="AA104" s="1"/>
    </row>
    <row r="105" spans="2:27" outlineLevel="1" x14ac:dyDescent="0.2">
      <c r="B105" s="2"/>
      <c r="I105" s="1"/>
      <c r="J105" s="1"/>
      <c r="K105" s="1"/>
      <c r="L105" s="1"/>
      <c r="M105" s="1"/>
      <c r="N105" s="1"/>
      <c r="O105" s="1"/>
      <c r="P105" s="1"/>
      <c r="Q105" s="1"/>
      <c r="S105" s="1"/>
      <c r="T105" s="1"/>
      <c r="U105" s="1"/>
      <c r="V105" s="1"/>
      <c r="X105" s="1"/>
      <c r="Y105" s="1"/>
      <c r="Z105" s="1"/>
      <c r="AA105" s="1"/>
    </row>
    <row r="106" spans="2:27" outlineLevel="1" x14ac:dyDescent="0.2">
      <c r="B106" s="2"/>
      <c r="J106" s="1"/>
      <c r="M106" s="1"/>
      <c r="O106" s="1"/>
      <c r="T106" s="1"/>
      <c r="Y106" s="1"/>
    </row>
    <row r="107" spans="2:27" outlineLevel="1" x14ac:dyDescent="0.2">
      <c r="B107" s="2"/>
      <c r="J107" s="1"/>
      <c r="M107" s="1"/>
      <c r="O107" s="1"/>
      <c r="T107" s="1"/>
      <c r="Y107" s="1"/>
    </row>
    <row r="108" spans="2:27" outlineLevel="1" x14ac:dyDescent="0.2">
      <c r="B108" s="2"/>
      <c r="I108" s="1"/>
      <c r="J108" s="1"/>
      <c r="M108" s="1"/>
      <c r="N108" s="1"/>
      <c r="O108" s="1"/>
      <c r="S108" s="1"/>
      <c r="T108" s="1"/>
      <c r="X108" s="1"/>
      <c r="Y108" s="1"/>
    </row>
    <row r="109" spans="2:27" outlineLevel="1" x14ac:dyDescent="0.2">
      <c r="B109" s="2"/>
      <c r="I109" s="1"/>
      <c r="J109" s="1"/>
      <c r="M109" s="1"/>
      <c r="N109" s="1"/>
      <c r="O109" s="1"/>
      <c r="S109" s="1"/>
      <c r="T109" s="1"/>
      <c r="X109" s="1"/>
      <c r="Y109" s="1"/>
    </row>
    <row r="110" spans="2:27" outlineLevel="1" x14ac:dyDescent="0.2">
      <c r="I110" s="1"/>
      <c r="J110" s="1"/>
      <c r="M110" s="1"/>
      <c r="N110" s="1"/>
      <c r="O110" s="1"/>
      <c r="S110" s="1"/>
      <c r="T110" s="1"/>
      <c r="X110" s="1"/>
      <c r="Y110" s="1"/>
    </row>
    <row r="111" spans="2:27" outlineLevel="1" x14ac:dyDescent="0.2">
      <c r="I111" s="1"/>
      <c r="J111" s="1"/>
      <c r="M111" s="1"/>
      <c r="N111" s="1"/>
      <c r="O111" s="1"/>
      <c r="S111" s="1"/>
      <c r="T111" s="1"/>
      <c r="X111" s="1"/>
      <c r="Y111" s="1"/>
    </row>
    <row r="112" spans="2:27" outlineLevel="1" x14ac:dyDescent="0.2">
      <c r="J112" s="1"/>
      <c r="M112" s="1"/>
      <c r="O112" s="1"/>
      <c r="T112" s="1"/>
      <c r="Y112" s="1"/>
    </row>
    <row r="113" spans="2:27" outlineLevel="1" x14ac:dyDescent="0.2">
      <c r="M113" s="1"/>
    </row>
    <row r="114" spans="2:27" outlineLevel="1" x14ac:dyDescent="0.2">
      <c r="B114" s="2"/>
      <c r="C114" s="1"/>
      <c r="D114" s="1"/>
      <c r="E114" s="1"/>
      <c r="F114" s="1"/>
      <c r="G114" s="1"/>
      <c r="H114" s="1"/>
      <c r="I114" s="1"/>
      <c r="J114" s="1"/>
      <c r="K114" s="1"/>
      <c r="L114" s="1"/>
      <c r="M114" s="1"/>
    </row>
    <row r="115" spans="2:27" x14ac:dyDescent="0.2">
      <c r="B115" s="2"/>
      <c r="C115" s="1"/>
      <c r="D115" s="1"/>
      <c r="E115" s="1"/>
      <c r="F115" s="1"/>
      <c r="G115" s="1"/>
      <c r="H115" s="1"/>
      <c r="I115" s="1"/>
      <c r="J115" s="1"/>
      <c r="K115" s="1"/>
      <c r="L115" s="1"/>
      <c r="M115" s="1"/>
    </row>
    <row r="116" spans="2:27" x14ac:dyDescent="0.2">
      <c r="B116" s="2"/>
      <c r="C116" s="1"/>
      <c r="I116" s="1"/>
      <c r="J116" s="1"/>
      <c r="K116" s="1"/>
      <c r="L116" s="1"/>
      <c r="M116" s="1"/>
      <c r="N116" s="1"/>
      <c r="O116" s="1"/>
      <c r="P116" s="1"/>
      <c r="Q116" s="1"/>
      <c r="S116" s="1"/>
      <c r="T116" s="1"/>
      <c r="U116" s="1"/>
      <c r="V116" s="1"/>
      <c r="X116" s="1"/>
      <c r="Y116" s="1"/>
      <c r="Z116" s="1"/>
      <c r="AA116" s="1"/>
    </row>
    <row r="117" spans="2:27" outlineLevel="1" x14ac:dyDescent="0.2">
      <c r="B117" s="2"/>
      <c r="C117" s="1"/>
      <c r="M117" s="1"/>
    </row>
    <row r="118" spans="2:27" outlineLevel="1" x14ac:dyDescent="0.2">
      <c r="B118" s="2"/>
      <c r="C118" s="1"/>
      <c r="F118" s="1"/>
      <c r="I118" s="1"/>
      <c r="J118" s="1"/>
      <c r="K118" s="1"/>
      <c r="L118" s="1"/>
      <c r="M118" s="1"/>
      <c r="N118" s="1"/>
      <c r="O118" s="1"/>
      <c r="P118" s="1"/>
      <c r="Q118" s="1"/>
      <c r="S118" s="1"/>
      <c r="T118" s="1"/>
      <c r="U118" s="1"/>
      <c r="V118" s="1"/>
      <c r="X118" s="1"/>
      <c r="Y118" s="1"/>
      <c r="Z118" s="1"/>
      <c r="AA118" s="1"/>
    </row>
    <row r="119" spans="2:27" outlineLevel="1" x14ac:dyDescent="0.2">
      <c r="B119" s="2"/>
      <c r="C119" s="1"/>
      <c r="I119" s="1"/>
      <c r="J119" s="1"/>
      <c r="K119" s="1"/>
      <c r="L119" s="1"/>
      <c r="M119" s="1"/>
      <c r="N119" s="1"/>
      <c r="O119" s="1"/>
      <c r="P119" s="1"/>
      <c r="Q119" s="1"/>
      <c r="S119" s="1"/>
      <c r="T119" s="1"/>
      <c r="U119" s="1"/>
      <c r="V119" s="1"/>
      <c r="X119" s="1"/>
      <c r="Y119" s="1"/>
      <c r="Z119" s="1"/>
      <c r="AA119" s="1"/>
    </row>
    <row r="120" spans="2:27" outlineLevel="1" x14ac:dyDescent="0.2">
      <c r="B120" s="2"/>
      <c r="C120" s="1"/>
      <c r="J120" s="1"/>
      <c r="M120" s="1"/>
      <c r="O120" s="1"/>
      <c r="T120" s="1"/>
      <c r="Y120" s="1"/>
    </row>
    <row r="121" spans="2:27" outlineLevel="1" x14ac:dyDescent="0.2">
      <c r="B121" s="2"/>
      <c r="C121" s="1"/>
      <c r="J121" s="1"/>
      <c r="M121" s="1"/>
      <c r="O121" s="1"/>
      <c r="T121" s="1"/>
      <c r="Y121" s="1"/>
    </row>
    <row r="122" spans="2:27" outlineLevel="1" x14ac:dyDescent="0.2">
      <c r="B122" s="2"/>
      <c r="C122" s="1"/>
      <c r="I122" s="1"/>
      <c r="J122" s="1"/>
      <c r="M122" s="1"/>
      <c r="N122" s="1"/>
      <c r="O122" s="1"/>
      <c r="S122" s="1"/>
      <c r="T122" s="1"/>
      <c r="X122" s="1"/>
      <c r="Y122" s="1"/>
    </row>
    <row r="123" spans="2:27" outlineLevel="1" x14ac:dyDescent="0.2">
      <c r="B123" s="2"/>
      <c r="C123" s="1"/>
      <c r="I123" s="1"/>
      <c r="J123" s="1"/>
      <c r="M123" s="1"/>
      <c r="N123" s="1"/>
      <c r="O123" s="1"/>
      <c r="S123" s="1"/>
      <c r="T123" s="1"/>
      <c r="X123" s="1"/>
      <c r="Y123" s="1"/>
    </row>
    <row r="124" spans="2:27" outlineLevel="1" x14ac:dyDescent="0.2">
      <c r="B124" s="2"/>
      <c r="C124" s="1"/>
      <c r="I124" s="1"/>
      <c r="J124" s="1"/>
      <c r="M124" s="1"/>
      <c r="N124" s="1"/>
      <c r="O124" s="1"/>
      <c r="S124" s="1"/>
      <c r="T124" s="1"/>
      <c r="X124" s="1"/>
      <c r="Y124" s="1"/>
    </row>
    <row r="125" spans="2:27" outlineLevel="1" x14ac:dyDescent="0.2">
      <c r="B125" s="2"/>
      <c r="C125" s="1"/>
      <c r="I125" s="1"/>
      <c r="J125" s="1"/>
      <c r="M125" s="1"/>
      <c r="N125" s="1"/>
      <c r="O125" s="1"/>
      <c r="S125" s="1"/>
      <c r="T125" s="1"/>
      <c r="X125" s="1"/>
      <c r="Y125" s="1"/>
    </row>
    <row r="126" spans="2:27" outlineLevel="1" x14ac:dyDescent="0.2">
      <c r="B126" s="2"/>
      <c r="C126" s="1"/>
      <c r="J126" s="1"/>
      <c r="M126" s="1"/>
      <c r="O126" s="1"/>
      <c r="T126" s="1"/>
      <c r="Y126" s="1"/>
    </row>
    <row r="127" spans="2:27" outlineLevel="1" x14ac:dyDescent="0.2">
      <c r="B127" s="2"/>
      <c r="C127" s="1"/>
      <c r="M127" s="1"/>
    </row>
    <row r="128" spans="2:27" outlineLevel="1" x14ac:dyDescent="0.2">
      <c r="B128" s="2"/>
      <c r="C128" s="1"/>
      <c r="D128" s="1"/>
      <c r="E128" s="1"/>
      <c r="F128" s="1"/>
      <c r="G128" s="1"/>
      <c r="H128" s="1"/>
      <c r="I128" s="1"/>
      <c r="J128" s="1"/>
      <c r="K128" s="1"/>
      <c r="L128" s="1"/>
      <c r="M128" s="1"/>
    </row>
    <row r="129" spans="2:27" x14ac:dyDescent="0.2">
      <c r="B129" s="2"/>
      <c r="C129" s="1"/>
      <c r="D129" s="1"/>
      <c r="E129" s="1"/>
      <c r="F129" s="1"/>
      <c r="G129" s="1"/>
      <c r="H129" s="1"/>
      <c r="I129" s="1"/>
      <c r="J129" s="1"/>
      <c r="K129" s="1"/>
      <c r="L129" s="1"/>
      <c r="M129" s="1"/>
    </row>
    <row r="130" spans="2:27" x14ac:dyDescent="0.2">
      <c r="B130" s="2"/>
      <c r="C130" s="1"/>
      <c r="I130" s="1"/>
      <c r="J130" s="1"/>
      <c r="K130" s="1"/>
      <c r="L130" s="1"/>
      <c r="M130" s="1"/>
      <c r="N130" s="1"/>
      <c r="O130" s="1"/>
      <c r="P130" s="1"/>
      <c r="Q130" s="1"/>
      <c r="S130" s="1"/>
      <c r="T130" s="1"/>
      <c r="U130" s="1"/>
      <c r="V130" s="1"/>
      <c r="X130" s="1"/>
      <c r="Y130" s="1"/>
      <c r="Z130" s="1"/>
      <c r="AA130" s="1"/>
    </row>
    <row r="131" spans="2:27" outlineLevel="1" x14ac:dyDescent="0.2">
      <c r="B131" s="2"/>
      <c r="C131" s="1"/>
      <c r="M131" s="1"/>
    </row>
    <row r="132" spans="2:27" outlineLevel="1" x14ac:dyDescent="0.2">
      <c r="B132" s="2"/>
      <c r="C132" s="1"/>
      <c r="F132" s="1"/>
      <c r="I132" s="1"/>
      <c r="J132" s="1"/>
      <c r="K132" s="1"/>
      <c r="L132" s="1"/>
      <c r="M132" s="1"/>
      <c r="N132" s="1"/>
      <c r="O132" s="1"/>
      <c r="P132" s="1"/>
      <c r="Q132" s="1"/>
      <c r="S132" s="1"/>
      <c r="T132" s="1"/>
      <c r="U132" s="1"/>
      <c r="V132" s="1"/>
      <c r="X132" s="1"/>
      <c r="Y132" s="1"/>
      <c r="Z132" s="1"/>
      <c r="AA132" s="1"/>
    </row>
    <row r="133" spans="2:27" outlineLevel="1" x14ac:dyDescent="0.2">
      <c r="B133" s="2"/>
      <c r="C133" s="1"/>
      <c r="I133" s="1"/>
      <c r="J133" s="1"/>
      <c r="K133" s="1"/>
      <c r="L133" s="1"/>
      <c r="M133" s="1"/>
      <c r="N133" s="1"/>
      <c r="O133" s="1"/>
      <c r="P133" s="1"/>
      <c r="Q133" s="1"/>
      <c r="S133" s="1"/>
      <c r="T133" s="1"/>
      <c r="U133" s="1"/>
      <c r="V133" s="1"/>
      <c r="X133" s="1"/>
      <c r="Y133" s="1"/>
      <c r="Z133" s="1"/>
      <c r="AA133" s="1"/>
    </row>
    <row r="134" spans="2:27" outlineLevel="1" x14ac:dyDescent="0.2">
      <c r="B134" s="2"/>
      <c r="C134" s="1"/>
      <c r="J134" s="1"/>
      <c r="M134" s="1"/>
      <c r="O134" s="1"/>
      <c r="T134" s="1"/>
      <c r="Y134" s="1"/>
    </row>
    <row r="135" spans="2:27" outlineLevel="1" x14ac:dyDescent="0.2">
      <c r="B135" s="2"/>
      <c r="C135" s="1"/>
      <c r="J135" s="1"/>
      <c r="M135" s="1"/>
      <c r="O135" s="1"/>
      <c r="T135" s="1"/>
      <c r="Y135" s="1"/>
    </row>
    <row r="136" spans="2:27" outlineLevel="1" x14ac:dyDescent="0.2">
      <c r="B136" s="2"/>
      <c r="C136" s="1"/>
      <c r="I136" s="1"/>
      <c r="J136" s="1"/>
      <c r="M136" s="1"/>
      <c r="N136" s="1"/>
      <c r="O136" s="1"/>
      <c r="S136" s="1"/>
      <c r="T136" s="1"/>
      <c r="X136" s="1"/>
      <c r="Y136" s="1"/>
    </row>
    <row r="137" spans="2:27" outlineLevel="1" x14ac:dyDescent="0.2">
      <c r="B137" s="2"/>
      <c r="C137" s="1"/>
      <c r="I137" s="1"/>
      <c r="J137" s="1"/>
      <c r="M137" s="1"/>
      <c r="N137" s="1"/>
      <c r="O137" s="1"/>
      <c r="S137" s="1"/>
      <c r="T137" s="1"/>
      <c r="X137" s="1"/>
      <c r="Y137" s="1"/>
    </row>
    <row r="138" spans="2:27" outlineLevel="1" x14ac:dyDescent="0.2">
      <c r="B138" s="2"/>
      <c r="C138" s="1"/>
      <c r="I138" s="1"/>
      <c r="J138" s="1"/>
      <c r="M138" s="1"/>
      <c r="N138" s="1"/>
      <c r="O138" s="1"/>
      <c r="S138" s="1"/>
      <c r="T138" s="1"/>
      <c r="X138" s="1"/>
      <c r="Y138" s="1"/>
    </row>
    <row r="139" spans="2:27" outlineLevel="1" x14ac:dyDescent="0.2">
      <c r="B139" s="2"/>
      <c r="C139" s="1"/>
      <c r="I139" s="1"/>
      <c r="J139" s="1"/>
      <c r="M139" s="1"/>
      <c r="N139" s="1"/>
      <c r="O139" s="1"/>
      <c r="S139" s="1"/>
      <c r="T139" s="1"/>
      <c r="X139" s="1"/>
      <c r="Y139" s="1"/>
    </row>
    <row r="140" spans="2:27" outlineLevel="1" x14ac:dyDescent="0.2">
      <c r="B140" s="2"/>
      <c r="C140" s="1"/>
      <c r="J140" s="1"/>
      <c r="M140" s="1"/>
      <c r="O140" s="1"/>
      <c r="T140" s="1"/>
      <c r="Y140" s="1"/>
    </row>
    <row r="141" spans="2:27" outlineLevel="1" x14ac:dyDescent="0.2">
      <c r="B141" s="2"/>
      <c r="C141" s="1"/>
      <c r="M141" s="1"/>
    </row>
    <row r="142" spans="2:27" outlineLevel="1" x14ac:dyDescent="0.2">
      <c r="B142" s="2"/>
      <c r="C142" s="1"/>
      <c r="D142" s="1"/>
      <c r="E142" s="1"/>
      <c r="F142" s="1"/>
      <c r="G142" s="1"/>
      <c r="H142" s="1"/>
      <c r="I142" s="1"/>
      <c r="J142" s="1"/>
      <c r="K142" s="1"/>
      <c r="L142" s="1"/>
      <c r="M142" s="1"/>
    </row>
    <row r="143" spans="2:27" x14ac:dyDescent="0.2">
      <c r="B143" s="2"/>
      <c r="C143" s="1"/>
      <c r="D143" s="1"/>
      <c r="E143" s="1"/>
      <c r="F143" s="1"/>
      <c r="G143" s="1"/>
      <c r="H143" s="1"/>
      <c r="I143" s="1"/>
      <c r="J143" s="1"/>
      <c r="K143" s="1"/>
      <c r="L143" s="1"/>
      <c r="M143" s="1"/>
    </row>
    <row r="144" spans="2:27" x14ac:dyDescent="0.2">
      <c r="B144" s="2"/>
      <c r="C144" s="1"/>
      <c r="I144" s="1"/>
      <c r="J144" s="1"/>
      <c r="K144" s="1"/>
      <c r="L144" s="1"/>
      <c r="M144" s="1"/>
      <c r="N144" s="1"/>
      <c r="O144" s="1"/>
      <c r="P144" s="1"/>
      <c r="Q144" s="1"/>
      <c r="S144" s="1"/>
      <c r="T144" s="1"/>
      <c r="U144" s="1"/>
      <c r="V144" s="1"/>
      <c r="X144" s="1"/>
      <c r="Y144" s="1"/>
      <c r="Z144" s="1"/>
      <c r="AA144" s="1"/>
    </row>
    <row r="145" spans="2:27" outlineLevel="1" x14ac:dyDescent="0.2">
      <c r="B145" s="2"/>
      <c r="C145" s="1"/>
      <c r="M145" s="1"/>
    </row>
    <row r="146" spans="2:27" outlineLevel="1" x14ac:dyDescent="0.2">
      <c r="B146" s="2"/>
      <c r="C146" s="1"/>
      <c r="F146" s="1"/>
      <c r="I146" s="1"/>
      <c r="J146" s="1"/>
      <c r="K146" s="1"/>
      <c r="L146" s="1"/>
      <c r="M146" s="1"/>
      <c r="N146" s="1"/>
      <c r="O146" s="1"/>
      <c r="P146" s="1"/>
      <c r="Q146" s="1"/>
      <c r="S146" s="1"/>
      <c r="T146" s="1"/>
      <c r="U146" s="1"/>
      <c r="V146" s="1"/>
      <c r="X146" s="1"/>
      <c r="Y146" s="1"/>
      <c r="Z146" s="1"/>
      <c r="AA146" s="1"/>
    </row>
    <row r="147" spans="2:27" outlineLevel="1" x14ac:dyDescent="0.2">
      <c r="B147" s="2"/>
      <c r="C147" s="1"/>
      <c r="I147" s="1"/>
      <c r="J147" s="1"/>
      <c r="K147" s="1"/>
      <c r="L147" s="1"/>
      <c r="M147" s="1"/>
      <c r="N147" s="1"/>
      <c r="O147" s="1"/>
      <c r="P147" s="1"/>
      <c r="Q147" s="1"/>
      <c r="S147" s="1"/>
      <c r="T147" s="1"/>
      <c r="U147" s="1"/>
      <c r="V147" s="1"/>
      <c r="X147" s="1"/>
      <c r="Y147" s="1"/>
      <c r="Z147" s="1"/>
      <c r="AA147" s="1"/>
    </row>
    <row r="148" spans="2:27" outlineLevel="1" x14ac:dyDescent="0.2">
      <c r="B148" s="2"/>
      <c r="C148" s="1"/>
      <c r="J148" s="1"/>
      <c r="M148" s="1"/>
      <c r="O148" s="1"/>
      <c r="T148" s="1"/>
      <c r="Y148" s="1"/>
    </row>
    <row r="149" spans="2:27" outlineLevel="1" x14ac:dyDescent="0.2">
      <c r="B149" s="2"/>
      <c r="C149" s="1"/>
      <c r="J149" s="1"/>
      <c r="M149" s="1"/>
      <c r="O149" s="1"/>
      <c r="T149" s="1"/>
      <c r="Y149" s="1"/>
    </row>
    <row r="150" spans="2:27" outlineLevel="1" x14ac:dyDescent="0.2">
      <c r="B150" s="2"/>
      <c r="C150" s="1"/>
      <c r="I150" s="1"/>
      <c r="J150" s="1"/>
      <c r="M150" s="1"/>
      <c r="N150" s="1"/>
      <c r="O150" s="1"/>
      <c r="S150" s="1"/>
      <c r="T150" s="1"/>
      <c r="X150" s="1"/>
      <c r="Y150" s="1"/>
    </row>
    <row r="151" spans="2:27" outlineLevel="1" x14ac:dyDescent="0.2">
      <c r="B151" s="2"/>
      <c r="C151" s="1"/>
      <c r="I151" s="1"/>
      <c r="J151" s="1"/>
      <c r="M151" s="1"/>
      <c r="N151" s="1"/>
      <c r="O151" s="1"/>
      <c r="S151" s="1"/>
      <c r="T151" s="1"/>
      <c r="X151" s="1"/>
      <c r="Y151" s="1"/>
    </row>
    <row r="152" spans="2:27" outlineLevel="1" x14ac:dyDescent="0.2">
      <c r="B152" s="2"/>
      <c r="C152" s="1"/>
      <c r="I152" s="1"/>
      <c r="J152" s="1"/>
      <c r="M152" s="1"/>
      <c r="N152" s="1"/>
      <c r="O152" s="1"/>
      <c r="S152" s="1"/>
      <c r="T152" s="1"/>
      <c r="X152" s="1"/>
      <c r="Y152" s="1"/>
    </row>
    <row r="153" spans="2:27" outlineLevel="1" x14ac:dyDescent="0.2">
      <c r="B153" s="2"/>
      <c r="C153" s="1"/>
      <c r="I153" s="1"/>
      <c r="J153" s="1"/>
      <c r="M153" s="1"/>
      <c r="N153" s="1"/>
      <c r="O153" s="1"/>
      <c r="S153" s="1"/>
      <c r="T153" s="1"/>
      <c r="X153" s="1"/>
      <c r="Y153" s="1"/>
    </row>
    <row r="154" spans="2:27" outlineLevel="1" x14ac:dyDescent="0.2">
      <c r="B154" s="2"/>
      <c r="C154" s="1"/>
      <c r="J154" s="1"/>
      <c r="M154" s="1"/>
      <c r="O154" s="1"/>
      <c r="T154" s="1"/>
      <c r="Y154" s="1"/>
    </row>
    <row r="155" spans="2:27" outlineLevel="1" x14ac:dyDescent="0.2">
      <c r="B155" s="2"/>
      <c r="C155" s="1"/>
      <c r="M155" s="1"/>
    </row>
    <row r="156" spans="2:27" outlineLevel="1" x14ac:dyDescent="0.2">
      <c r="B156" s="2"/>
      <c r="C156" s="1"/>
      <c r="D156" s="1"/>
      <c r="E156" s="1"/>
      <c r="F156" s="1"/>
      <c r="G156" s="1"/>
      <c r="H156" s="1"/>
      <c r="I156" s="1"/>
      <c r="J156" s="1"/>
      <c r="K156" s="1"/>
      <c r="L156" s="1"/>
      <c r="M156" s="1"/>
    </row>
    <row r="157" spans="2:27" x14ac:dyDescent="0.2">
      <c r="B157" s="2"/>
      <c r="C157" s="1"/>
      <c r="D157" s="1"/>
      <c r="E157" s="1"/>
      <c r="F157" s="1"/>
      <c r="G157" s="1"/>
      <c r="H157" s="1"/>
      <c r="I157" s="1"/>
      <c r="J157" s="1"/>
      <c r="K157" s="1"/>
      <c r="L157" s="1"/>
      <c r="M157" s="1"/>
    </row>
    <row r="158" spans="2:27" x14ac:dyDescent="0.2">
      <c r="B158" s="2"/>
      <c r="C158" s="1"/>
      <c r="I158" s="1"/>
      <c r="J158" s="1"/>
      <c r="K158" s="1"/>
      <c r="L158" s="1"/>
      <c r="M158" s="1"/>
      <c r="N158" s="1"/>
      <c r="O158" s="1"/>
      <c r="P158" s="1"/>
      <c r="Q158" s="1"/>
      <c r="S158" s="1"/>
      <c r="T158" s="1"/>
      <c r="U158" s="1"/>
      <c r="V158" s="1"/>
      <c r="X158" s="1"/>
      <c r="Y158" s="1"/>
      <c r="Z158" s="1"/>
      <c r="AA158" s="1"/>
    </row>
    <row r="159" spans="2:27" outlineLevel="1" x14ac:dyDescent="0.2">
      <c r="B159" s="2"/>
      <c r="C159" s="1"/>
      <c r="M159" s="1"/>
    </row>
    <row r="160" spans="2:27" outlineLevel="1" x14ac:dyDescent="0.2">
      <c r="B160" s="2"/>
      <c r="C160" s="1"/>
      <c r="F160" s="1"/>
      <c r="I160" s="1"/>
      <c r="J160" s="1"/>
      <c r="K160" s="1"/>
      <c r="L160" s="1"/>
      <c r="M160" s="1"/>
      <c r="N160" s="1"/>
      <c r="O160" s="1"/>
      <c r="P160" s="1"/>
      <c r="Q160" s="1"/>
      <c r="S160" s="1"/>
      <c r="T160" s="1"/>
      <c r="U160" s="1"/>
      <c r="V160" s="1"/>
      <c r="X160" s="1"/>
      <c r="Y160" s="1"/>
      <c r="Z160" s="1"/>
      <c r="AA160" s="1"/>
    </row>
    <row r="161" spans="2:27" outlineLevel="1" x14ac:dyDescent="0.2">
      <c r="B161" s="2"/>
      <c r="C161" s="1"/>
      <c r="I161" s="1"/>
      <c r="J161" s="1"/>
      <c r="K161" s="1"/>
      <c r="L161" s="1"/>
      <c r="M161" s="1"/>
      <c r="N161" s="1"/>
      <c r="O161" s="1"/>
      <c r="P161" s="1"/>
      <c r="Q161" s="1"/>
      <c r="S161" s="1"/>
      <c r="T161" s="1"/>
      <c r="U161" s="1"/>
      <c r="V161" s="1"/>
      <c r="X161" s="1"/>
      <c r="Y161" s="1"/>
      <c r="Z161" s="1"/>
      <c r="AA161" s="1"/>
    </row>
    <row r="162" spans="2:27" outlineLevel="1" x14ac:dyDescent="0.2">
      <c r="B162" s="2"/>
      <c r="C162" s="1"/>
      <c r="J162" s="1"/>
      <c r="M162" s="1"/>
      <c r="O162" s="1"/>
      <c r="T162" s="1"/>
      <c r="Y162" s="1"/>
    </row>
    <row r="163" spans="2:27" outlineLevel="1" x14ac:dyDescent="0.2">
      <c r="B163" s="2"/>
      <c r="C163" s="1"/>
      <c r="J163" s="1"/>
      <c r="M163" s="1"/>
      <c r="O163" s="1"/>
      <c r="T163" s="1"/>
      <c r="Y163" s="1"/>
    </row>
    <row r="164" spans="2:27" outlineLevel="1" x14ac:dyDescent="0.2">
      <c r="B164" s="2"/>
      <c r="C164" s="1"/>
      <c r="I164" s="1"/>
      <c r="J164" s="1"/>
      <c r="M164" s="1"/>
      <c r="N164" s="1"/>
      <c r="O164" s="1"/>
      <c r="S164" s="1"/>
      <c r="T164" s="1"/>
      <c r="X164" s="1"/>
      <c r="Y164" s="1"/>
    </row>
    <row r="165" spans="2:27" outlineLevel="1" x14ac:dyDescent="0.2">
      <c r="B165" s="2"/>
      <c r="C165" s="1"/>
      <c r="I165" s="1"/>
      <c r="J165" s="1"/>
      <c r="M165" s="1"/>
      <c r="N165" s="1"/>
      <c r="O165" s="1"/>
      <c r="S165" s="1"/>
      <c r="T165" s="1"/>
      <c r="X165" s="1"/>
      <c r="Y165" s="1"/>
    </row>
    <row r="166" spans="2:27" outlineLevel="1" x14ac:dyDescent="0.2">
      <c r="B166" s="2"/>
      <c r="C166" s="1"/>
      <c r="I166" s="1"/>
      <c r="J166" s="1"/>
      <c r="M166" s="1"/>
      <c r="N166" s="1"/>
      <c r="O166" s="1"/>
      <c r="S166" s="1"/>
      <c r="T166" s="1"/>
      <c r="X166" s="1"/>
      <c r="Y166" s="1"/>
    </row>
    <row r="167" spans="2:27" outlineLevel="1" x14ac:dyDescent="0.2">
      <c r="B167" s="2"/>
      <c r="C167" s="1"/>
      <c r="I167" s="1"/>
      <c r="J167" s="1"/>
      <c r="M167" s="1"/>
      <c r="N167" s="1"/>
      <c r="O167" s="1"/>
      <c r="S167" s="1"/>
      <c r="T167" s="1"/>
      <c r="X167" s="1"/>
      <c r="Y167" s="1"/>
    </row>
    <row r="168" spans="2:27" outlineLevel="1" x14ac:dyDescent="0.2">
      <c r="B168" s="2"/>
      <c r="C168" s="1"/>
      <c r="J168" s="1"/>
      <c r="M168" s="1"/>
      <c r="O168" s="1"/>
      <c r="T168" s="1"/>
      <c r="Y168" s="1"/>
    </row>
    <row r="169" spans="2:27" outlineLevel="1" x14ac:dyDescent="0.2">
      <c r="B169" s="2"/>
      <c r="C169" s="1"/>
      <c r="M169" s="1"/>
    </row>
    <row r="170" spans="2:27" outlineLevel="1" x14ac:dyDescent="0.2">
      <c r="B170" s="2"/>
      <c r="C170" s="1"/>
      <c r="D170" s="1"/>
      <c r="E170" s="1"/>
      <c r="F170" s="1"/>
      <c r="G170" s="1"/>
      <c r="H170" s="1"/>
      <c r="I170" s="1"/>
      <c r="J170" s="1"/>
      <c r="K170" s="1"/>
      <c r="L170" s="1"/>
      <c r="M170" s="1"/>
    </row>
    <row r="171" spans="2:27" x14ac:dyDescent="0.2">
      <c r="B171" s="2"/>
      <c r="C171" s="1"/>
      <c r="D171" s="1"/>
      <c r="E171" s="1"/>
      <c r="F171" s="1"/>
      <c r="G171" s="1"/>
      <c r="H171" s="1"/>
      <c r="I171" s="1"/>
      <c r="J171" s="1"/>
      <c r="K171" s="1"/>
      <c r="L171" s="1"/>
      <c r="M171" s="1"/>
    </row>
    <row r="172" spans="2:27" x14ac:dyDescent="0.2">
      <c r="B172" s="2"/>
      <c r="C172" s="1"/>
      <c r="I172" s="1"/>
      <c r="J172" s="1"/>
      <c r="K172" s="1"/>
      <c r="L172" s="1"/>
      <c r="M172" s="1"/>
      <c r="N172" s="1"/>
      <c r="O172" s="1"/>
      <c r="P172" s="1"/>
      <c r="Q172" s="1"/>
      <c r="S172" s="1"/>
      <c r="T172" s="1"/>
      <c r="U172" s="1"/>
      <c r="V172" s="1"/>
      <c r="X172" s="1"/>
      <c r="Y172" s="1"/>
      <c r="Z172" s="1"/>
      <c r="AA172" s="1"/>
    </row>
    <row r="173" spans="2:27" x14ac:dyDescent="0.2">
      <c r="B173" s="2"/>
      <c r="C173" s="1"/>
      <c r="M173" s="1"/>
    </row>
    <row r="174" spans="2:27" outlineLevel="1" x14ac:dyDescent="0.2">
      <c r="B174" s="2"/>
      <c r="C174" s="1"/>
      <c r="F174" s="1"/>
      <c r="I174" s="1"/>
      <c r="J174" s="1"/>
      <c r="K174" s="1"/>
      <c r="L174" s="1"/>
      <c r="M174" s="1"/>
      <c r="N174" s="1"/>
      <c r="O174" s="1"/>
      <c r="P174" s="1"/>
      <c r="Q174" s="1"/>
      <c r="S174" s="1"/>
      <c r="T174" s="1"/>
      <c r="U174" s="1"/>
      <c r="V174" s="1"/>
      <c r="X174" s="1"/>
      <c r="Y174" s="1"/>
      <c r="Z174" s="1"/>
      <c r="AA174" s="1"/>
    </row>
    <row r="175" spans="2:27" outlineLevel="1" x14ac:dyDescent="0.2">
      <c r="B175" s="2"/>
      <c r="C175" s="1"/>
      <c r="I175" s="1"/>
      <c r="J175" s="1"/>
      <c r="K175" s="1"/>
      <c r="L175" s="1"/>
      <c r="M175" s="1"/>
      <c r="N175" s="1"/>
      <c r="O175" s="1"/>
      <c r="P175" s="1"/>
      <c r="Q175" s="1"/>
      <c r="S175" s="1"/>
      <c r="T175" s="1"/>
      <c r="U175" s="1"/>
      <c r="V175" s="1"/>
      <c r="X175" s="1"/>
      <c r="Y175" s="1"/>
      <c r="Z175" s="1"/>
      <c r="AA175" s="1"/>
    </row>
    <row r="176" spans="2:27" outlineLevel="1" x14ac:dyDescent="0.2">
      <c r="B176" s="2"/>
      <c r="C176" s="1"/>
      <c r="J176" s="1"/>
      <c r="M176" s="1"/>
      <c r="O176" s="1"/>
      <c r="T176" s="1"/>
      <c r="Y176" s="1"/>
    </row>
    <row r="177" spans="2:27" outlineLevel="1" x14ac:dyDescent="0.2">
      <c r="B177" s="2"/>
      <c r="C177" s="1"/>
      <c r="J177" s="1"/>
      <c r="M177" s="1"/>
      <c r="O177" s="1"/>
      <c r="T177" s="1"/>
      <c r="Y177" s="1"/>
    </row>
    <row r="178" spans="2:27" outlineLevel="1" x14ac:dyDescent="0.2">
      <c r="B178" s="2"/>
      <c r="C178" s="1"/>
      <c r="I178" s="1"/>
      <c r="J178" s="1"/>
      <c r="M178" s="1"/>
      <c r="N178" s="1"/>
      <c r="O178" s="1"/>
      <c r="S178" s="1"/>
      <c r="T178" s="1"/>
      <c r="X178" s="1"/>
      <c r="Y178" s="1"/>
    </row>
    <row r="179" spans="2:27" outlineLevel="1" x14ac:dyDescent="0.2">
      <c r="B179" s="2"/>
      <c r="C179" s="1"/>
      <c r="I179" s="1"/>
      <c r="J179" s="1"/>
      <c r="M179" s="1"/>
      <c r="N179" s="1"/>
      <c r="O179" s="1"/>
      <c r="S179" s="1"/>
      <c r="T179" s="1"/>
      <c r="X179" s="1"/>
      <c r="Y179" s="1"/>
    </row>
    <row r="180" spans="2:27" outlineLevel="1" x14ac:dyDescent="0.2">
      <c r="B180" s="2"/>
      <c r="C180" s="1"/>
      <c r="I180" s="1"/>
      <c r="J180" s="1"/>
      <c r="M180" s="1"/>
      <c r="N180" s="1"/>
      <c r="O180" s="1"/>
      <c r="S180" s="1"/>
      <c r="T180" s="1"/>
      <c r="X180" s="1"/>
      <c r="Y180" s="1"/>
    </row>
    <row r="181" spans="2:27" outlineLevel="1" x14ac:dyDescent="0.2">
      <c r="B181" s="2"/>
      <c r="C181" s="1"/>
      <c r="I181" s="1"/>
      <c r="J181" s="1"/>
      <c r="M181" s="1"/>
      <c r="N181" s="1"/>
      <c r="O181" s="1"/>
      <c r="S181" s="1"/>
      <c r="T181" s="1"/>
      <c r="X181" s="1"/>
      <c r="Y181" s="1"/>
    </row>
    <row r="182" spans="2:27" outlineLevel="1" x14ac:dyDescent="0.2">
      <c r="B182" s="2"/>
      <c r="C182" s="1"/>
      <c r="J182" s="1"/>
      <c r="M182" s="1"/>
      <c r="O182" s="1"/>
      <c r="T182" s="1"/>
      <c r="Y182" s="1"/>
    </row>
    <row r="183" spans="2:27" outlineLevel="1" x14ac:dyDescent="0.2">
      <c r="B183" s="2"/>
      <c r="C183" s="1"/>
      <c r="M183" s="1"/>
    </row>
    <row r="184" spans="2:27" outlineLevel="1" x14ac:dyDescent="0.2">
      <c r="B184" s="2"/>
      <c r="C184" s="1"/>
      <c r="D184" s="1"/>
      <c r="E184" s="1"/>
      <c r="F184" s="1"/>
      <c r="G184" s="1"/>
      <c r="H184" s="1"/>
      <c r="I184" s="1"/>
      <c r="J184" s="1"/>
      <c r="K184" s="1"/>
      <c r="L184" s="1"/>
      <c r="M184" s="1"/>
    </row>
    <row r="185" spans="2:27" outlineLevel="1" x14ac:dyDescent="0.2">
      <c r="B185" s="2"/>
      <c r="C185" s="1"/>
      <c r="D185" s="1"/>
      <c r="E185" s="1"/>
      <c r="F185" s="1"/>
      <c r="G185" s="1"/>
      <c r="H185" s="1"/>
      <c r="I185" s="1"/>
      <c r="J185" s="1"/>
      <c r="K185" s="1"/>
      <c r="L185" s="1"/>
      <c r="M185" s="1"/>
    </row>
    <row r="186" spans="2:27" x14ac:dyDescent="0.2">
      <c r="B186" s="2"/>
      <c r="C186" s="1"/>
      <c r="D186" s="1"/>
      <c r="E186" s="1"/>
      <c r="F186" s="1"/>
      <c r="G186" s="1"/>
      <c r="H186" s="1"/>
      <c r="I186" s="1"/>
      <c r="J186" s="1"/>
      <c r="K186" s="1"/>
      <c r="L186" s="1"/>
      <c r="M186" s="1"/>
    </row>
    <row r="187" spans="2:27" x14ac:dyDescent="0.2">
      <c r="B187" s="2"/>
      <c r="C187" s="1"/>
      <c r="I187" s="1"/>
      <c r="J187" s="1"/>
      <c r="K187" s="1"/>
      <c r="L187" s="1"/>
      <c r="M187" s="1"/>
      <c r="N187" s="1"/>
      <c r="O187" s="1"/>
      <c r="P187" s="1"/>
      <c r="Q187" s="1"/>
      <c r="S187" s="1"/>
      <c r="T187" s="1"/>
      <c r="U187" s="1"/>
      <c r="V187" s="1"/>
      <c r="X187" s="1"/>
      <c r="Y187" s="1"/>
      <c r="Z187" s="1"/>
      <c r="AA187" s="1"/>
    </row>
    <row r="188" spans="2:27" outlineLevel="1" x14ac:dyDescent="0.2">
      <c r="B188" s="2"/>
      <c r="C188" s="1"/>
      <c r="M188" s="1"/>
    </row>
    <row r="189" spans="2:27" outlineLevel="1" x14ac:dyDescent="0.2">
      <c r="B189" s="2"/>
      <c r="C189" s="1"/>
      <c r="F189" s="1"/>
      <c r="I189" s="1"/>
      <c r="J189" s="1"/>
      <c r="K189" s="1"/>
      <c r="L189" s="1"/>
      <c r="M189" s="1"/>
      <c r="N189" s="1"/>
      <c r="O189" s="1"/>
      <c r="P189" s="1"/>
      <c r="Q189" s="1"/>
      <c r="S189" s="1"/>
      <c r="T189" s="1"/>
      <c r="U189" s="1"/>
      <c r="V189" s="1"/>
      <c r="X189" s="1"/>
      <c r="Y189" s="1"/>
      <c r="Z189" s="1"/>
      <c r="AA189" s="1"/>
    </row>
    <row r="190" spans="2:27" outlineLevel="1" x14ac:dyDescent="0.2">
      <c r="B190" s="2"/>
      <c r="C190" s="1"/>
      <c r="I190" s="1"/>
      <c r="J190" s="1"/>
      <c r="K190" s="1"/>
      <c r="L190" s="1"/>
      <c r="M190" s="1"/>
      <c r="N190" s="1"/>
      <c r="O190" s="1"/>
      <c r="P190" s="1"/>
      <c r="Q190" s="1"/>
      <c r="S190" s="1"/>
      <c r="T190" s="1"/>
      <c r="U190" s="1"/>
      <c r="V190" s="1"/>
      <c r="X190" s="1"/>
      <c r="Y190" s="1"/>
      <c r="Z190" s="1"/>
      <c r="AA190" s="1"/>
    </row>
    <row r="191" spans="2:27" outlineLevel="1" x14ac:dyDescent="0.2">
      <c r="B191" s="2"/>
      <c r="C191" s="1"/>
      <c r="J191" s="1"/>
      <c r="M191" s="1"/>
      <c r="O191" s="1"/>
      <c r="T191" s="1"/>
      <c r="Y191" s="1"/>
    </row>
    <row r="192" spans="2:27" outlineLevel="1" x14ac:dyDescent="0.2">
      <c r="B192" s="2"/>
      <c r="C192" s="1"/>
      <c r="J192" s="1"/>
      <c r="M192" s="1"/>
      <c r="O192" s="1"/>
      <c r="T192" s="1"/>
      <c r="Y192" s="1"/>
    </row>
    <row r="193" spans="2:27" outlineLevel="1" x14ac:dyDescent="0.2">
      <c r="B193" s="2"/>
      <c r="C193" s="1"/>
      <c r="I193" s="1"/>
      <c r="J193" s="1"/>
      <c r="M193" s="1"/>
      <c r="N193" s="1"/>
      <c r="O193" s="1"/>
      <c r="S193" s="1"/>
      <c r="T193" s="1"/>
      <c r="X193" s="1"/>
      <c r="Y193" s="1"/>
    </row>
    <row r="194" spans="2:27" outlineLevel="1" x14ac:dyDescent="0.2">
      <c r="B194" s="2"/>
      <c r="C194" s="1"/>
      <c r="I194" s="1"/>
      <c r="J194" s="1"/>
      <c r="M194" s="1"/>
      <c r="N194" s="1"/>
      <c r="O194" s="1"/>
      <c r="S194" s="1"/>
      <c r="T194" s="1"/>
      <c r="X194" s="1"/>
      <c r="Y194" s="1"/>
    </row>
    <row r="195" spans="2:27" outlineLevel="1" x14ac:dyDescent="0.2">
      <c r="B195" s="2"/>
      <c r="C195" s="1"/>
      <c r="I195" s="1"/>
      <c r="J195" s="1"/>
      <c r="M195" s="1"/>
      <c r="N195" s="1"/>
      <c r="O195" s="1"/>
      <c r="S195" s="1"/>
      <c r="T195" s="1"/>
      <c r="X195" s="1"/>
      <c r="Y195" s="1"/>
    </row>
    <row r="196" spans="2:27" outlineLevel="1" x14ac:dyDescent="0.2">
      <c r="B196" s="2"/>
      <c r="C196" s="1"/>
      <c r="I196" s="1"/>
      <c r="J196" s="1"/>
      <c r="M196" s="1"/>
      <c r="N196" s="1"/>
      <c r="O196" s="1"/>
      <c r="S196" s="1"/>
      <c r="T196" s="1"/>
      <c r="X196" s="1"/>
      <c r="Y196" s="1"/>
    </row>
    <row r="197" spans="2:27" outlineLevel="1" x14ac:dyDescent="0.2">
      <c r="B197" s="2"/>
      <c r="C197" s="1"/>
      <c r="J197" s="1"/>
      <c r="M197" s="1"/>
      <c r="O197" s="1"/>
      <c r="T197" s="1"/>
      <c r="Y197" s="1"/>
    </row>
    <row r="198" spans="2:27" outlineLevel="1" x14ac:dyDescent="0.2">
      <c r="B198" s="2"/>
      <c r="C198" s="1"/>
      <c r="M198" s="1"/>
    </row>
    <row r="199" spans="2:27" outlineLevel="2" x14ac:dyDescent="0.2">
      <c r="B199" s="2"/>
      <c r="C199" s="1"/>
      <c r="D199" s="1"/>
      <c r="E199" s="1"/>
      <c r="F199" s="1"/>
      <c r="G199" s="1"/>
      <c r="H199" s="1"/>
      <c r="I199" s="1"/>
      <c r="J199" s="1"/>
      <c r="K199" s="1"/>
      <c r="L199" s="1"/>
      <c r="M199" s="1"/>
    </row>
    <row r="200" spans="2:27" outlineLevel="1" x14ac:dyDescent="0.2">
      <c r="B200" s="2"/>
      <c r="C200" s="1"/>
      <c r="D200" s="1"/>
      <c r="E200" s="1"/>
      <c r="F200" s="1"/>
      <c r="G200" s="1"/>
      <c r="H200" s="1"/>
      <c r="I200" s="1"/>
      <c r="J200" s="1"/>
      <c r="K200" s="1"/>
      <c r="L200" s="1"/>
      <c r="M200" s="1"/>
    </row>
    <row r="201" spans="2:27" outlineLevel="1" x14ac:dyDescent="0.2">
      <c r="B201" s="2"/>
      <c r="C201" s="1"/>
      <c r="I201" s="1"/>
      <c r="J201" s="1"/>
      <c r="K201" s="1"/>
      <c r="L201" s="1"/>
      <c r="M201" s="1"/>
      <c r="N201" s="1"/>
      <c r="O201" s="1"/>
      <c r="P201" s="1"/>
      <c r="Q201" s="1"/>
      <c r="S201" s="1"/>
      <c r="T201" s="1"/>
      <c r="U201" s="1"/>
      <c r="V201" s="1"/>
      <c r="X201" s="1"/>
      <c r="Y201" s="1"/>
      <c r="Z201" s="1"/>
      <c r="AA201" s="1"/>
    </row>
    <row r="202" spans="2:27" outlineLevel="1" x14ac:dyDescent="0.2">
      <c r="B202" s="2"/>
      <c r="C202" s="1"/>
      <c r="M202" s="1"/>
    </row>
    <row r="203" spans="2:27" outlineLevel="1" x14ac:dyDescent="0.2">
      <c r="B203" s="2"/>
      <c r="C203" s="1"/>
      <c r="F203" s="1"/>
      <c r="I203" s="1"/>
      <c r="J203" s="1"/>
      <c r="K203" s="1"/>
      <c r="L203" s="1"/>
      <c r="M203" s="1"/>
      <c r="N203" s="1"/>
      <c r="O203" s="1"/>
      <c r="P203" s="1"/>
      <c r="Q203" s="1"/>
      <c r="S203" s="1"/>
      <c r="T203" s="1"/>
      <c r="U203" s="1"/>
      <c r="V203" s="1"/>
      <c r="X203" s="1"/>
      <c r="Y203" s="1"/>
      <c r="Z203" s="1"/>
      <c r="AA203" s="1"/>
    </row>
    <row r="204" spans="2:27" outlineLevel="1" x14ac:dyDescent="0.2">
      <c r="B204" s="2"/>
      <c r="C204" s="1"/>
      <c r="I204" s="1"/>
      <c r="J204" s="1"/>
      <c r="K204" s="1"/>
      <c r="L204" s="1"/>
      <c r="M204" s="1"/>
      <c r="N204" s="1"/>
      <c r="O204" s="1"/>
      <c r="P204" s="1"/>
      <c r="Q204" s="1"/>
      <c r="S204" s="1"/>
      <c r="T204" s="1"/>
      <c r="U204" s="1"/>
      <c r="V204" s="1"/>
      <c r="X204" s="1"/>
      <c r="Y204" s="1"/>
      <c r="Z204" s="1"/>
      <c r="AA204" s="1"/>
    </row>
    <row r="205" spans="2:27" outlineLevel="1" x14ac:dyDescent="0.2">
      <c r="B205" s="2"/>
      <c r="C205" s="1"/>
      <c r="J205" s="1"/>
      <c r="M205" s="1"/>
      <c r="O205" s="1"/>
      <c r="T205" s="1"/>
      <c r="Y205" s="1"/>
    </row>
    <row r="206" spans="2:27" outlineLevel="1" x14ac:dyDescent="0.2">
      <c r="B206" s="2"/>
      <c r="C206" s="1"/>
      <c r="J206" s="1"/>
      <c r="M206" s="1"/>
      <c r="O206" s="1"/>
      <c r="T206" s="1"/>
      <c r="Y206" s="1"/>
    </row>
    <row r="207" spans="2:27" outlineLevel="1" x14ac:dyDescent="0.2">
      <c r="B207" s="2"/>
      <c r="C207" s="1"/>
      <c r="I207" s="1"/>
      <c r="J207" s="1"/>
      <c r="M207" s="1"/>
      <c r="N207" s="1"/>
      <c r="O207" s="1"/>
      <c r="S207" s="1"/>
      <c r="T207" s="1"/>
      <c r="X207" s="1"/>
      <c r="Y207" s="1"/>
    </row>
    <row r="208" spans="2:27" outlineLevel="1" x14ac:dyDescent="0.2">
      <c r="B208" s="2"/>
      <c r="C208" s="1"/>
      <c r="I208" s="1"/>
      <c r="J208" s="1"/>
      <c r="M208" s="1"/>
      <c r="N208" s="1"/>
      <c r="O208" s="1"/>
      <c r="S208" s="1"/>
      <c r="T208" s="1"/>
      <c r="X208" s="1"/>
      <c r="Y208" s="1"/>
    </row>
    <row r="209" spans="2:25" outlineLevel="1" x14ac:dyDescent="0.2">
      <c r="B209" s="2"/>
      <c r="C209" s="1"/>
      <c r="I209" s="1"/>
      <c r="J209" s="1"/>
      <c r="M209" s="1"/>
      <c r="N209" s="1"/>
      <c r="O209" s="1"/>
      <c r="S209" s="1"/>
      <c r="T209" s="1"/>
      <c r="X209" s="1"/>
      <c r="Y209" s="1"/>
    </row>
    <row r="210" spans="2:25" ht="16" customHeight="1" outlineLevel="1" x14ac:dyDescent="0.2">
      <c r="B210" s="2"/>
      <c r="C210" s="1"/>
      <c r="I210" s="1"/>
      <c r="J210" s="1"/>
      <c r="M210" s="1"/>
      <c r="N210" s="1"/>
      <c r="O210" s="1"/>
      <c r="S210" s="1"/>
      <c r="T210" s="1"/>
      <c r="X210" s="1"/>
      <c r="Y210" s="1"/>
    </row>
    <row r="211" spans="2:25" x14ac:dyDescent="0.2">
      <c r="J211" s="1"/>
      <c r="M211" s="1"/>
      <c r="O211" s="1"/>
      <c r="T211" s="1"/>
      <c r="Y211" s="1"/>
    </row>
    <row r="212" spans="2:25" x14ac:dyDescent="0.2">
      <c r="M212" s="1"/>
    </row>
    <row r="213" spans="2:25" outlineLevel="1" x14ac:dyDescent="0.2"/>
    <row r="214" spans="2:25" outlineLevel="1" x14ac:dyDescent="0.2"/>
    <row r="215" spans="2:25" outlineLevel="1" x14ac:dyDescent="0.2"/>
    <row r="216" spans="2:25" outlineLevel="1" x14ac:dyDescent="0.2"/>
    <row r="217" spans="2:25" outlineLevel="1" x14ac:dyDescent="0.2"/>
    <row r="218" spans="2:25" outlineLevel="1" x14ac:dyDescent="0.2"/>
    <row r="219" spans="2:25" outlineLevel="1" x14ac:dyDescent="0.2"/>
    <row r="220" spans="2:25" outlineLevel="1" x14ac:dyDescent="0.2"/>
    <row r="221" spans="2:25" outlineLevel="1" x14ac:dyDescent="0.2"/>
    <row r="222" spans="2:25" outlineLevel="1" x14ac:dyDescent="0.2"/>
    <row r="223" spans="2:25" outlineLevel="1" x14ac:dyDescent="0.2"/>
    <row r="224" spans="2:25" outlineLevel="1" x14ac:dyDescent="0.2">
      <c r="H224" s="1"/>
      <c r="I224" s="1"/>
      <c r="J224" s="1"/>
      <c r="K224" s="1"/>
      <c r="L224" s="1"/>
      <c r="M224" s="1"/>
    </row>
    <row r="225" spans="6:27" x14ac:dyDescent="0.2">
      <c r="H225" s="1"/>
      <c r="I225" s="1"/>
      <c r="J225" s="1"/>
      <c r="K225" s="1"/>
      <c r="L225" s="1"/>
      <c r="M225" s="1"/>
    </row>
    <row r="226" spans="6:27" x14ac:dyDescent="0.2">
      <c r="I226" s="1"/>
      <c r="J226" s="1"/>
      <c r="K226" s="1"/>
      <c r="L226" s="1"/>
      <c r="M226" s="1"/>
      <c r="N226" s="1"/>
      <c r="O226" s="1"/>
      <c r="P226" s="1"/>
      <c r="Q226" s="1"/>
      <c r="S226" s="1"/>
      <c r="T226" s="1"/>
      <c r="U226" s="1"/>
      <c r="V226" s="1"/>
      <c r="X226" s="1"/>
      <c r="Y226" s="1"/>
      <c r="Z226" s="1"/>
      <c r="AA226" s="1"/>
    </row>
    <row r="227" spans="6:27" x14ac:dyDescent="0.2">
      <c r="M227" s="1"/>
    </row>
    <row r="228" spans="6:27" outlineLevel="1" x14ac:dyDescent="0.2">
      <c r="F228" s="1"/>
      <c r="I228" s="1"/>
      <c r="J228" s="1"/>
      <c r="K228" s="1"/>
      <c r="L228" s="1"/>
      <c r="M228" s="1"/>
      <c r="N228" s="1"/>
      <c r="O228" s="1"/>
      <c r="P228" s="1"/>
      <c r="Q228" s="1"/>
      <c r="S228" s="1"/>
      <c r="T228" s="1"/>
      <c r="U228" s="1"/>
      <c r="V228" s="1"/>
      <c r="X228" s="1"/>
      <c r="Y228" s="1"/>
      <c r="Z228" s="1"/>
      <c r="AA228" s="1"/>
    </row>
    <row r="229" spans="6:27" outlineLevel="1" x14ac:dyDescent="0.2">
      <c r="I229" s="1"/>
      <c r="J229" s="1"/>
      <c r="K229" s="1"/>
      <c r="L229" s="1"/>
      <c r="M229" s="1"/>
      <c r="N229" s="1"/>
      <c r="O229" s="1"/>
      <c r="P229" s="1"/>
      <c r="Q229" s="1"/>
      <c r="S229" s="1"/>
      <c r="T229" s="1"/>
      <c r="U229" s="1"/>
      <c r="V229" s="1"/>
      <c r="X229" s="1"/>
      <c r="Y229" s="1"/>
      <c r="Z229" s="1"/>
      <c r="AA229" s="1"/>
    </row>
    <row r="230" spans="6:27" outlineLevel="1" x14ac:dyDescent="0.2">
      <c r="J230" s="1"/>
      <c r="M230" s="1"/>
      <c r="O230" s="1"/>
      <c r="T230" s="1"/>
      <c r="Y230" s="1"/>
    </row>
    <row r="231" spans="6:27" outlineLevel="1" x14ac:dyDescent="0.2">
      <c r="J231" s="1"/>
      <c r="M231" s="1"/>
      <c r="O231" s="1"/>
      <c r="T231" s="1"/>
      <c r="Y231" s="1"/>
    </row>
    <row r="232" spans="6:27" outlineLevel="1" x14ac:dyDescent="0.2">
      <c r="I232" s="1"/>
      <c r="J232" s="1"/>
      <c r="M232" s="1"/>
      <c r="N232" s="1"/>
      <c r="O232" s="1"/>
      <c r="S232" s="1"/>
      <c r="T232" s="1"/>
      <c r="X232" s="1"/>
      <c r="Y232" s="1"/>
    </row>
    <row r="233" spans="6:27" outlineLevel="1" x14ac:dyDescent="0.2">
      <c r="I233" s="1"/>
      <c r="J233" s="1"/>
      <c r="M233" s="1"/>
      <c r="N233" s="1"/>
      <c r="O233" s="1"/>
      <c r="S233" s="1"/>
      <c r="T233" s="1"/>
      <c r="X233" s="1"/>
      <c r="Y233" s="1"/>
    </row>
    <row r="234" spans="6:27" outlineLevel="1" x14ac:dyDescent="0.2">
      <c r="I234" s="1"/>
      <c r="J234" s="1"/>
      <c r="M234" s="1"/>
      <c r="N234" s="1"/>
      <c r="O234" s="1"/>
      <c r="S234" s="1"/>
      <c r="T234" s="1"/>
      <c r="X234" s="1"/>
      <c r="Y234" s="1"/>
    </row>
    <row r="235" spans="6:27" outlineLevel="1" x14ac:dyDescent="0.2">
      <c r="I235" s="1"/>
      <c r="J235" s="1"/>
      <c r="M235" s="1"/>
      <c r="N235" s="1"/>
      <c r="O235" s="1"/>
      <c r="S235" s="1"/>
      <c r="T235" s="1"/>
      <c r="X235" s="1"/>
      <c r="Y235" s="1"/>
    </row>
    <row r="236" spans="6:27" outlineLevel="1" x14ac:dyDescent="0.2">
      <c r="J236" s="1"/>
      <c r="M236" s="1"/>
      <c r="O236" s="1"/>
      <c r="T236" s="1"/>
      <c r="Y236" s="1"/>
    </row>
    <row r="237" spans="6:27" outlineLevel="1" x14ac:dyDescent="0.2">
      <c r="M237" s="1"/>
    </row>
    <row r="238" spans="6:27" outlineLevel="1" x14ac:dyDescent="0.2"/>
    <row r="239" spans="6:27" outlineLevel="1" x14ac:dyDescent="0.2"/>
    <row r="241" spans="2:27" x14ac:dyDescent="0.2">
      <c r="I241" s="1"/>
      <c r="J241" s="1"/>
      <c r="K241" s="1"/>
      <c r="L241" s="1"/>
      <c r="M241" s="1"/>
      <c r="N241" s="1"/>
      <c r="O241" s="1"/>
      <c r="P241" s="1"/>
      <c r="Q241" s="1"/>
      <c r="S241" s="1"/>
      <c r="T241" s="1"/>
      <c r="U241" s="1"/>
      <c r="V241" s="1"/>
      <c r="X241" s="1"/>
      <c r="Y241" s="1"/>
      <c r="Z241" s="1"/>
      <c r="AA241" s="1"/>
    </row>
    <row r="242" spans="2:27" x14ac:dyDescent="0.2">
      <c r="M242" s="1"/>
    </row>
    <row r="243" spans="2:27" outlineLevel="1" x14ac:dyDescent="0.2">
      <c r="F243" s="1"/>
      <c r="I243" s="1"/>
      <c r="J243" s="1"/>
      <c r="K243" s="1"/>
      <c r="L243" s="1"/>
      <c r="M243" s="1"/>
      <c r="N243" s="1"/>
      <c r="O243" s="1"/>
      <c r="P243" s="1"/>
      <c r="Q243" s="1"/>
      <c r="S243" s="1"/>
      <c r="T243" s="1"/>
      <c r="U243" s="1"/>
      <c r="V243" s="1"/>
      <c r="X243" s="1"/>
      <c r="Y243" s="1"/>
      <c r="Z243" s="1"/>
      <c r="AA243" s="1"/>
    </row>
    <row r="244" spans="2:27" outlineLevel="1" x14ac:dyDescent="0.2">
      <c r="I244" s="1"/>
      <c r="J244" s="1"/>
      <c r="K244" s="1"/>
      <c r="L244" s="1"/>
      <c r="M244" s="1"/>
      <c r="N244" s="1"/>
      <c r="O244" s="1"/>
      <c r="P244" s="1"/>
      <c r="Q244" s="1"/>
      <c r="S244" s="1"/>
      <c r="T244" s="1"/>
      <c r="U244" s="1"/>
      <c r="V244" s="1"/>
      <c r="X244" s="1"/>
      <c r="Y244" s="1"/>
      <c r="Z244" s="1"/>
      <c r="AA244" s="1"/>
    </row>
    <row r="245" spans="2:27" outlineLevel="1" x14ac:dyDescent="0.2">
      <c r="J245" s="1"/>
      <c r="M245" s="1"/>
      <c r="O245" s="1"/>
      <c r="T245" s="1"/>
      <c r="Y245" s="1"/>
    </row>
    <row r="246" spans="2:27" outlineLevel="1" x14ac:dyDescent="0.2">
      <c r="J246" s="1"/>
      <c r="M246" s="1"/>
      <c r="O246" s="1"/>
      <c r="T246" s="1"/>
      <c r="Y246" s="1"/>
    </row>
    <row r="247" spans="2:27" outlineLevel="1" x14ac:dyDescent="0.2">
      <c r="I247" s="1"/>
      <c r="J247" s="1"/>
      <c r="M247" s="1"/>
      <c r="N247" s="1"/>
      <c r="O247" s="1"/>
      <c r="S247" s="1"/>
      <c r="T247" s="1"/>
      <c r="X247" s="1"/>
      <c r="Y247" s="1"/>
    </row>
    <row r="248" spans="2:27" outlineLevel="1" x14ac:dyDescent="0.2">
      <c r="I248" s="1"/>
      <c r="J248" s="1"/>
      <c r="M248" s="1"/>
      <c r="N248" s="1"/>
      <c r="O248" s="1"/>
      <c r="S248" s="1"/>
      <c r="T248" s="1"/>
      <c r="X248" s="1"/>
      <c r="Y248" s="1"/>
    </row>
    <row r="249" spans="2:27" outlineLevel="1" x14ac:dyDescent="0.2">
      <c r="I249" s="1"/>
      <c r="J249" s="1"/>
      <c r="M249" s="1"/>
      <c r="N249" s="1"/>
      <c r="O249" s="1"/>
      <c r="S249" s="1"/>
      <c r="T249" s="1"/>
      <c r="X249" s="1"/>
      <c r="Y249" s="1"/>
    </row>
    <row r="250" spans="2:27" outlineLevel="1" x14ac:dyDescent="0.2">
      <c r="B250" s="2"/>
      <c r="C250" s="1"/>
      <c r="I250" s="1"/>
      <c r="J250" s="1"/>
      <c r="M250" s="1"/>
      <c r="N250" s="1"/>
      <c r="O250" s="1"/>
      <c r="S250" s="1"/>
      <c r="T250" s="1"/>
      <c r="X250" s="1"/>
      <c r="Y250" s="1"/>
    </row>
    <row r="251" spans="2:27" outlineLevel="1" x14ac:dyDescent="0.2">
      <c r="B251" s="2"/>
      <c r="C251" s="1"/>
      <c r="J251" s="1"/>
      <c r="M251" s="1"/>
      <c r="O251" s="1"/>
      <c r="T251" s="1"/>
      <c r="Y251" s="1"/>
    </row>
    <row r="252" spans="2:27" outlineLevel="1" x14ac:dyDescent="0.2">
      <c r="M252" s="1"/>
    </row>
    <row r="253" spans="2:27" outlineLevel="1" x14ac:dyDescent="0.2"/>
    <row r="254" spans="2:27" outlineLevel="1" x14ac:dyDescent="0.2"/>
    <row r="256" spans="2:27" x14ac:dyDescent="0.2">
      <c r="I256" s="1"/>
      <c r="J256" s="1"/>
      <c r="K256" s="1"/>
      <c r="L256" s="1"/>
      <c r="M256" s="1"/>
      <c r="N256" s="1"/>
      <c r="O256" s="1"/>
      <c r="P256" s="1"/>
      <c r="Q256" s="1"/>
      <c r="S256" s="1"/>
      <c r="T256" s="1"/>
      <c r="U256" s="1"/>
      <c r="V256" s="1"/>
      <c r="X256" s="1"/>
      <c r="Y256" s="1"/>
      <c r="Z256" s="1"/>
      <c r="AA256" s="1"/>
    </row>
    <row r="257" spans="6:27" x14ac:dyDescent="0.2">
      <c r="M257" s="1"/>
    </row>
    <row r="258" spans="6:27" outlineLevel="1" x14ac:dyDescent="0.2">
      <c r="F258" s="1"/>
      <c r="I258" s="1"/>
      <c r="J258" s="1"/>
      <c r="K258" s="1"/>
      <c r="L258" s="1"/>
      <c r="M258" s="1"/>
      <c r="N258" s="1"/>
      <c r="O258" s="1"/>
      <c r="P258" s="1"/>
      <c r="Q258" s="1"/>
      <c r="S258" s="1"/>
      <c r="T258" s="1"/>
      <c r="U258" s="1"/>
      <c r="V258" s="1"/>
      <c r="X258" s="1"/>
      <c r="Y258" s="1"/>
      <c r="Z258" s="1"/>
      <c r="AA258" s="1"/>
    </row>
    <row r="259" spans="6:27" outlineLevel="1" x14ac:dyDescent="0.2">
      <c r="I259" s="1"/>
      <c r="J259" s="1"/>
      <c r="K259" s="1"/>
      <c r="L259" s="1"/>
      <c r="M259" s="1"/>
      <c r="N259" s="1"/>
      <c r="O259" s="1"/>
      <c r="P259" s="1"/>
      <c r="Q259" s="1"/>
      <c r="S259" s="1"/>
      <c r="T259" s="1"/>
      <c r="U259" s="1"/>
      <c r="V259" s="1"/>
      <c r="X259" s="1"/>
      <c r="Y259" s="1"/>
      <c r="Z259" s="1"/>
      <c r="AA259" s="1"/>
    </row>
    <row r="260" spans="6:27" outlineLevel="1" x14ac:dyDescent="0.2">
      <c r="J260" s="1"/>
      <c r="M260" s="1"/>
      <c r="O260" s="1"/>
      <c r="T260" s="1"/>
      <c r="Y260" s="1"/>
    </row>
    <row r="261" spans="6:27" outlineLevel="1" x14ac:dyDescent="0.2">
      <c r="J261" s="1"/>
      <c r="M261" s="1"/>
      <c r="O261" s="1"/>
      <c r="T261" s="1"/>
      <c r="Y261" s="1"/>
    </row>
    <row r="262" spans="6:27" outlineLevel="1" x14ac:dyDescent="0.2">
      <c r="I262" s="1"/>
      <c r="J262" s="1"/>
      <c r="M262" s="1"/>
      <c r="N262" s="1"/>
      <c r="O262" s="1"/>
      <c r="S262" s="1"/>
      <c r="T262" s="1"/>
      <c r="X262" s="1"/>
      <c r="Y262" s="1"/>
    </row>
    <row r="263" spans="6:27" outlineLevel="1" x14ac:dyDescent="0.2">
      <c r="I263" s="1"/>
      <c r="J263" s="1"/>
      <c r="M263" s="1"/>
      <c r="N263" s="1"/>
      <c r="O263" s="1"/>
      <c r="S263" s="1"/>
      <c r="T263" s="1"/>
      <c r="X263" s="1"/>
      <c r="Y263" s="1"/>
    </row>
    <row r="264" spans="6:27" outlineLevel="1" x14ac:dyDescent="0.2">
      <c r="I264" s="1"/>
      <c r="J264" s="1"/>
      <c r="M264" s="1"/>
      <c r="N264" s="1"/>
      <c r="O264" s="1"/>
      <c r="S264" s="1"/>
      <c r="T264" s="1"/>
      <c r="X264" s="1"/>
      <c r="Y264" s="1"/>
    </row>
    <row r="265" spans="6:27" outlineLevel="1" x14ac:dyDescent="0.2">
      <c r="I265" s="1"/>
      <c r="J265" s="1"/>
      <c r="M265" s="1"/>
      <c r="N265" s="1"/>
      <c r="O265" s="1"/>
      <c r="S265" s="1"/>
      <c r="T265" s="1"/>
      <c r="X265" s="1"/>
      <c r="Y265" s="1"/>
    </row>
    <row r="266" spans="6:27" outlineLevel="1" x14ac:dyDescent="0.2">
      <c r="J266" s="1"/>
      <c r="M266" s="1"/>
      <c r="O266" s="1"/>
      <c r="T266" s="1"/>
      <c r="Y266" s="1"/>
    </row>
    <row r="267" spans="6:27" outlineLevel="1" x14ac:dyDescent="0.2">
      <c r="M267" s="1"/>
    </row>
    <row r="268" spans="6:27" outlineLevel="1" x14ac:dyDescent="0.2"/>
    <row r="269" spans="6:27" outlineLevel="1" x14ac:dyDescent="0.2"/>
    <row r="271" spans="6:27" x14ac:dyDescent="0.2">
      <c r="I271" s="1"/>
      <c r="J271" s="1"/>
      <c r="K271" s="1"/>
      <c r="L271" s="1"/>
      <c r="M271" s="1"/>
      <c r="N271" s="1"/>
      <c r="O271" s="1"/>
      <c r="P271" s="1"/>
      <c r="Q271" s="1"/>
      <c r="S271" s="1"/>
      <c r="T271" s="1"/>
      <c r="U271" s="1"/>
      <c r="V271" s="1"/>
      <c r="X271" s="1"/>
      <c r="Y271" s="1"/>
      <c r="Z271" s="1"/>
      <c r="AA271" s="1"/>
    </row>
    <row r="272" spans="6:27" x14ac:dyDescent="0.2">
      <c r="M272" s="1"/>
    </row>
    <row r="273" spans="6:27" outlineLevel="1" x14ac:dyDescent="0.2">
      <c r="F273" s="1"/>
      <c r="I273" s="1"/>
      <c r="J273" s="1"/>
      <c r="K273" s="1"/>
      <c r="L273" s="1"/>
      <c r="M273" s="1"/>
      <c r="N273" s="1"/>
      <c r="O273" s="1"/>
      <c r="P273" s="1"/>
      <c r="Q273" s="1"/>
      <c r="S273" s="1"/>
      <c r="T273" s="1"/>
      <c r="U273" s="1"/>
      <c r="V273" s="1"/>
      <c r="X273" s="1"/>
      <c r="Y273" s="1"/>
      <c r="Z273" s="1"/>
      <c r="AA273" s="1"/>
    </row>
    <row r="274" spans="6:27" outlineLevel="1" x14ac:dyDescent="0.2">
      <c r="I274" s="1"/>
      <c r="J274" s="1"/>
      <c r="K274" s="1"/>
      <c r="L274" s="1"/>
      <c r="M274" s="1"/>
      <c r="N274" s="1"/>
      <c r="O274" s="1"/>
      <c r="P274" s="1"/>
      <c r="Q274" s="1"/>
      <c r="S274" s="1"/>
      <c r="T274" s="1"/>
      <c r="U274" s="1"/>
      <c r="V274" s="1"/>
      <c r="X274" s="1"/>
      <c r="Y274" s="1"/>
      <c r="Z274" s="1"/>
      <c r="AA274" s="1"/>
    </row>
    <row r="275" spans="6:27" outlineLevel="1" x14ac:dyDescent="0.2">
      <c r="J275" s="1"/>
      <c r="M275" s="1"/>
      <c r="O275" s="1"/>
      <c r="T275" s="1"/>
      <c r="Y275" s="1"/>
    </row>
    <row r="276" spans="6:27" outlineLevel="1" x14ac:dyDescent="0.2">
      <c r="J276" s="1"/>
      <c r="M276" s="1"/>
      <c r="O276" s="1"/>
      <c r="T276" s="1"/>
      <c r="Y276" s="1"/>
    </row>
    <row r="277" spans="6:27" outlineLevel="1" x14ac:dyDescent="0.2">
      <c r="I277" s="1"/>
      <c r="J277" s="1"/>
      <c r="M277" s="1"/>
      <c r="N277" s="1"/>
      <c r="O277" s="1"/>
      <c r="S277" s="1"/>
      <c r="T277" s="1"/>
      <c r="X277" s="1"/>
      <c r="Y277" s="1"/>
    </row>
    <row r="278" spans="6:27" outlineLevel="1" x14ac:dyDescent="0.2">
      <c r="I278" s="1"/>
      <c r="J278" s="1"/>
      <c r="M278" s="1"/>
      <c r="N278" s="1"/>
      <c r="O278" s="1"/>
      <c r="S278" s="1"/>
      <c r="T278" s="1"/>
      <c r="X278" s="1"/>
      <c r="Y278" s="1"/>
    </row>
    <row r="279" spans="6:27" outlineLevel="1" x14ac:dyDescent="0.2">
      <c r="I279" s="1"/>
      <c r="J279" s="1"/>
      <c r="M279" s="1"/>
      <c r="N279" s="1"/>
      <c r="O279" s="1"/>
      <c r="S279" s="1"/>
      <c r="T279" s="1"/>
      <c r="X279" s="1"/>
      <c r="Y279" s="1"/>
    </row>
    <row r="280" spans="6:27" outlineLevel="1" x14ac:dyDescent="0.2">
      <c r="I280" s="1"/>
      <c r="J280" s="1"/>
      <c r="M280" s="1"/>
      <c r="N280" s="1"/>
      <c r="O280" s="1"/>
      <c r="S280" s="1"/>
      <c r="T280" s="1"/>
      <c r="X280" s="1"/>
      <c r="Y280" s="1"/>
    </row>
    <row r="281" spans="6:27" outlineLevel="1" x14ac:dyDescent="0.2">
      <c r="J281" s="1"/>
      <c r="M281" s="1"/>
      <c r="O281" s="1"/>
      <c r="T281" s="1"/>
      <c r="Y281" s="1"/>
    </row>
    <row r="282" spans="6:27" outlineLevel="1" x14ac:dyDescent="0.2">
      <c r="M282" s="1"/>
    </row>
    <row r="283" spans="6:27" outlineLevel="1" x14ac:dyDescent="0.2"/>
    <row r="284" spans="6:27" outlineLevel="1" x14ac:dyDescent="0.2"/>
    <row r="286" spans="6:27" x14ac:dyDescent="0.2">
      <c r="I286" s="1"/>
      <c r="J286" s="1"/>
      <c r="K286" s="1"/>
      <c r="L286" s="1"/>
      <c r="M286" s="1"/>
      <c r="N286" s="1"/>
      <c r="O286" s="1"/>
      <c r="P286" s="1"/>
      <c r="Q286" s="1"/>
      <c r="S286" s="1"/>
      <c r="T286" s="1"/>
      <c r="U286" s="1"/>
      <c r="V286" s="1"/>
      <c r="X286" s="1"/>
      <c r="Y286" s="1"/>
      <c r="Z286" s="1"/>
      <c r="AA286" s="1"/>
    </row>
    <row r="287" spans="6:27" outlineLevel="1" x14ac:dyDescent="0.2">
      <c r="M287" s="1"/>
    </row>
    <row r="288" spans="6:27" outlineLevel="1" x14ac:dyDescent="0.2">
      <c r="F288" s="1"/>
      <c r="I288" s="1"/>
      <c r="J288" s="1"/>
      <c r="K288" s="1"/>
      <c r="L288" s="1"/>
      <c r="M288" s="1"/>
      <c r="N288" s="1"/>
      <c r="O288" s="1"/>
      <c r="P288" s="1"/>
      <c r="Q288" s="1"/>
      <c r="S288" s="1"/>
      <c r="T288" s="1"/>
      <c r="U288" s="1"/>
      <c r="V288" s="1"/>
      <c r="X288" s="1"/>
      <c r="Y288" s="1"/>
      <c r="Z288" s="1"/>
      <c r="AA288" s="1"/>
    </row>
    <row r="289" spans="6:27" outlineLevel="1" x14ac:dyDescent="0.2">
      <c r="I289" s="1"/>
      <c r="J289" s="1"/>
      <c r="K289" s="1"/>
      <c r="L289" s="1"/>
      <c r="M289" s="1"/>
      <c r="N289" s="1"/>
      <c r="O289" s="1"/>
      <c r="P289" s="1"/>
      <c r="Q289" s="1"/>
      <c r="S289" s="1"/>
      <c r="T289" s="1"/>
      <c r="U289" s="1"/>
      <c r="V289" s="1"/>
      <c r="X289" s="1"/>
      <c r="Y289" s="1"/>
      <c r="Z289" s="1"/>
      <c r="AA289" s="1"/>
    </row>
    <row r="290" spans="6:27" outlineLevel="1" x14ac:dyDescent="0.2">
      <c r="J290" s="1"/>
      <c r="M290" s="1"/>
      <c r="O290" s="1"/>
      <c r="T290" s="1"/>
      <c r="Y290" s="1"/>
    </row>
    <row r="291" spans="6:27" outlineLevel="1" x14ac:dyDescent="0.2">
      <c r="J291" s="1"/>
      <c r="M291" s="1"/>
      <c r="O291" s="1"/>
      <c r="T291" s="1"/>
      <c r="Y291" s="1"/>
    </row>
    <row r="292" spans="6:27" outlineLevel="1" x14ac:dyDescent="0.2">
      <c r="I292" s="1"/>
      <c r="J292" s="1"/>
      <c r="M292" s="1"/>
      <c r="N292" s="1"/>
      <c r="O292" s="1"/>
      <c r="S292" s="1"/>
      <c r="T292" s="1"/>
      <c r="X292" s="1"/>
      <c r="Y292" s="1"/>
    </row>
    <row r="293" spans="6:27" outlineLevel="1" x14ac:dyDescent="0.2">
      <c r="I293" s="1"/>
      <c r="J293" s="1"/>
      <c r="M293" s="1"/>
      <c r="N293" s="1"/>
      <c r="O293" s="1"/>
      <c r="S293" s="1"/>
      <c r="T293" s="1"/>
      <c r="X293" s="1"/>
      <c r="Y293" s="1"/>
    </row>
    <row r="294" spans="6:27" outlineLevel="1" x14ac:dyDescent="0.2">
      <c r="I294" s="1"/>
      <c r="J294" s="1"/>
      <c r="M294" s="1"/>
      <c r="N294" s="1"/>
      <c r="O294" s="1"/>
      <c r="S294" s="1"/>
      <c r="T294" s="1"/>
      <c r="X294" s="1"/>
      <c r="Y294" s="1"/>
    </row>
    <row r="295" spans="6:27" outlineLevel="1" x14ac:dyDescent="0.2">
      <c r="I295" s="1"/>
      <c r="J295" s="1"/>
      <c r="M295" s="1"/>
      <c r="N295" s="1"/>
      <c r="O295" s="1"/>
      <c r="S295" s="1"/>
      <c r="T295" s="1"/>
      <c r="X295" s="1"/>
      <c r="Y295" s="1"/>
    </row>
    <row r="296" spans="6:27" outlineLevel="1" x14ac:dyDescent="0.2">
      <c r="J296" s="1"/>
      <c r="M296" s="1"/>
      <c r="O296" s="1"/>
      <c r="T296" s="1"/>
      <c r="Y296" s="1"/>
    </row>
    <row r="297" spans="6:27" outlineLevel="1" x14ac:dyDescent="0.2">
      <c r="M297" s="1"/>
    </row>
    <row r="298" spans="6:27" outlineLevel="1" x14ac:dyDescent="0.2"/>
    <row r="300" spans="6:27" x14ac:dyDescent="0.2">
      <c r="I300" s="1"/>
      <c r="J300" s="1"/>
      <c r="K300" s="1"/>
      <c r="L300" s="1"/>
      <c r="M300" s="1"/>
      <c r="N300" s="1"/>
      <c r="O300" s="1"/>
      <c r="P300" s="1"/>
      <c r="Q300" s="1"/>
      <c r="S300" s="1"/>
      <c r="T300" s="1"/>
      <c r="U300" s="1"/>
      <c r="V300" s="1"/>
      <c r="X300" s="1"/>
      <c r="Y300" s="1"/>
      <c r="Z300" s="1"/>
      <c r="AA300" s="1"/>
    </row>
    <row r="301" spans="6:27" outlineLevel="1" x14ac:dyDescent="0.2">
      <c r="M301" s="1"/>
    </row>
    <row r="302" spans="6:27" outlineLevel="1" x14ac:dyDescent="0.2">
      <c r="F302" s="1"/>
      <c r="I302" s="1"/>
      <c r="J302" s="1"/>
      <c r="K302" s="1"/>
      <c r="L302" s="1"/>
      <c r="M302" s="1"/>
      <c r="N302" s="1"/>
      <c r="O302" s="1"/>
      <c r="P302" s="1"/>
      <c r="Q302" s="1"/>
      <c r="S302" s="1"/>
      <c r="T302" s="1"/>
      <c r="U302" s="1"/>
      <c r="V302" s="1"/>
      <c r="X302" s="1"/>
      <c r="Y302" s="1"/>
      <c r="Z302" s="1"/>
      <c r="AA302" s="1"/>
    </row>
    <row r="303" spans="6:27" outlineLevel="1" x14ac:dyDescent="0.2">
      <c r="I303" s="1"/>
      <c r="J303" s="1"/>
      <c r="K303" s="1"/>
      <c r="L303" s="1"/>
      <c r="M303" s="1"/>
      <c r="N303" s="1"/>
      <c r="O303" s="1"/>
      <c r="P303" s="1"/>
      <c r="Q303" s="1"/>
      <c r="S303" s="1"/>
      <c r="T303" s="1"/>
      <c r="U303" s="1"/>
      <c r="V303" s="1"/>
      <c r="X303" s="1"/>
      <c r="Y303" s="1"/>
      <c r="Z303" s="1"/>
      <c r="AA303" s="1"/>
    </row>
    <row r="304" spans="6:27" outlineLevel="1" x14ac:dyDescent="0.2">
      <c r="J304" s="1"/>
      <c r="M304" s="1"/>
      <c r="O304" s="1"/>
      <c r="T304" s="1"/>
      <c r="Y304" s="1"/>
    </row>
    <row r="305" spans="6:27" outlineLevel="1" x14ac:dyDescent="0.2">
      <c r="J305" s="1"/>
      <c r="M305" s="1"/>
      <c r="O305" s="1"/>
      <c r="T305" s="1"/>
      <c r="Y305" s="1"/>
    </row>
    <row r="306" spans="6:27" outlineLevel="1" x14ac:dyDescent="0.2">
      <c r="I306" s="1"/>
      <c r="J306" s="1"/>
      <c r="M306" s="1"/>
      <c r="N306" s="1"/>
      <c r="O306" s="1"/>
      <c r="S306" s="1"/>
      <c r="T306" s="1"/>
      <c r="X306" s="1"/>
      <c r="Y306" s="1"/>
    </row>
    <row r="307" spans="6:27" outlineLevel="1" x14ac:dyDescent="0.2">
      <c r="I307" s="1"/>
      <c r="J307" s="1"/>
      <c r="M307" s="1"/>
      <c r="N307" s="1"/>
      <c r="O307" s="1"/>
      <c r="S307" s="1"/>
      <c r="T307" s="1"/>
      <c r="X307" s="1"/>
      <c r="Y307" s="1"/>
    </row>
    <row r="308" spans="6:27" outlineLevel="1" x14ac:dyDescent="0.2">
      <c r="I308" s="1"/>
      <c r="J308" s="1"/>
      <c r="M308" s="1"/>
      <c r="N308" s="1"/>
      <c r="O308" s="1"/>
      <c r="S308" s="1"/>
      <c r="T308" s="1"/>
      <c r="X308" s="1"/>
      <c r="Y308" s="1"/>
    </row>
    <row r="309" spans="6:27" outlineLevel="1" x14ac:dyDescent="0.2">
      <c r="I309" s="1"/>
      <c r="J309" s="1"/>
      <c r="M309" s="1"/>
      <c r="N309" s="1"/>
      <c r="O309" s="1"/>
      <c r="S309" s="1"/>
      <c r="T309" s="1"/>
      <c r="X309" s="1"/>
      <c r="Y309" s="1"/>
    </row>
    <row r="310" spans="6:27" outlineLevel="1" x14ac:dyDescent="0.2">
      <c r="J310" s="1"/>
      <c r="M310" s="1"/>
      <c r="O310" s="1"/>
      <c r="T310" s="1"/>
      <c r="Y310" s="1"/>
    </row>
    <row r="311" spans="6:27" outlineLevel="1" x14ac:dyDescent="0.2">
      <c r="M311" s="1"/>
    </row>
    <row r="312" spans="6:27" outlineLevel="1" x14ac:dyDescent="0.2"/>
    <row r="314" spans="6:27" x14ac:dyDescent="0.2">
      <c r="I314" s="1"/>
      <c r="J314" s="1"/>
      <c r="K314" s="1"/>
      <c r="L314" s="1"/>
      <c r="M314" s="1"/>
      <c r="N314" s="1"/>
      <c r="O314" s="1"/>
      <c r="P314" s="1"/>
      <c r="Q314" s="1"/>
      <c r="S314" s="1"/>
      <c r="T314" s="1"/>
      <c r="U314" s="1"/>
      <c r="V314" s="1"/>
      <c r="X314" s="1"/>
      <c r="Y314" s="1"/>
      <c r="Z314" s="1"/>
      <c r="AA314" s="1"/>
    </row>
    <row r="315" spans="6:27" x14ac:dyDescent="0.2">
      <c r="M315" s="1"/>
    </row>
    <row r="316" spans="6:27" x14ac:dyDescent="0.2">
      <c r="F316" s="1"/>
      <c r="I316" s="1"/>
      <c r="J316" s="1"/>
      <c r="K316" s="1"/>
      <c r="L316" s="1"/>
      <c r="M316" s="1"/>
      <c r="N316" s="1"/>
      <c r="O316" s="1"/>
      <c r="P316" s="1"/>
      <c r="Q316" s="1"/>
      <c r="S316" s="1"/>
      <c r="T316" s="1"/>
      <c r="U316" s="1"/>
      <c r="V316" s="1"/>
      <c r="X316" s="1"/>
      <c r="Y316" s="1"/>
      <c r="Z316" s="1"/>
      <c r="AA316" s="1"/>
    </row>
    <row r="317" spans="6:27" x14ac:dyDescent="0.2">
      <c r="I317" s="1"/>
      <c r="J317" s="1"/>
      <c r="K317" s="1"/>
      <c r="L317" s="1"/>
      <c r="M317" s="1"/>
      <c r="N317" s="1"/>
      <c r="O317" s="1"/>
      <c r="P317" s="1"/>
      <c r="Q317" s="1"/>
      <c r="S317" s="1"/>
      <c r="T317" s="1"/>
      <c r="U317" s="1"/>
      <c r="V317" s="1"/>
      <c r="X317" s="1"/>
      <c r="Y317" s="1"/>
      <c r="Z317" s="1"/>
      <c r="AA317" s="1"/>
    </row>
    <row r="318" spans="6:27" x14ac:dyDescent="0.2">
      <c r="J318" s="1"/>
      <c r="M318" s="1"/>
      <c r="O318" s="1"/>
      <c r="T318" s="1"/>
      <c r="Y318" s="1"/>
    </row>
    <row r="319" spans="6:27" x14ac:dyDescent="0.2">
      <c r="J319" s="1"/>
      <c r="M319" s="1"/>
      <c r="O319" s="1"/>
      <c r="T319" s="1"/>
      <c r="Y319" s="1"/>
    </row>
    <row r="320" spans="6:27" x14ac:dyDescent="0.2">
      <c r="I320" s="1"/>
      <c r="J320" s="1"/>
      <c r="M320" s="1"/>
      <c r="N320" s="1"/>
      <c r="O320" s="1"/>
      <c r="S320" s="1"/>
      <c r="T320" s="1"/>
      <c r="X320" s="1"/>
      <c r="Y320" s="1"/>
    </row>
    <row r="321" spans="6:27" x14ac:dyDescent="0.2">
      <c r="I321" s="1"/>
      <c r="J321" s="1"/>
      <c r="M321" s="1"/>
      <c r="N321" s="1"/>
      <c r="O321" s="1"/>
      <c r="S321" s="1"/>
      <c r="T321" s="1"/>
      <c r="X321" s="1"/>
      <c r="Y321" s="1"/>
    </row>
    <row r="322" spans="6:27" x14ac:dyDescent="0.2">
      <c r="I322" s="1"/>
      <c r="J322" s="1"/>
      <c r="M322" s="1"/>
      <c r="N322" s="1"/>
      <c r="O322" s="1"/>
      <c r="S322" s="1"/>
      <c r="T322" s="1"/>
      <c r="X322" s="1"/>
      <c r="Y322" s="1"/>
    </row>
    <row r="323" spans="6:27" x14ac:dyDescent="0.2">
      <c r="I323" s="1"/>
      <c r="J323" s="1"/>
      <c r="M323" s="1"/>
      <c r="N323" s="1"/>
      <c r="O323" s="1"/>
      <c r="S323" s="1"/>
      <c r="T323" s="1"/>
      <c r="X323" s="1"/>
      <c r="Y323" s="1"/>
    </row>
    <row r="324" spans="6:27" x14ac:dyDescent="0.2">
      <c r="J324" s="1"/>
      <c r="M324" s="1"/>
      <c r="O324" s="1"/>
      <c r="T324" s="1"/>
      <c r="Y324" s="1"/>
    </row>
    <row r="325" spans="6:27" x14ac:dyDescent="0.2">
      <c r="M325" s="1"/>
    </row>
    <row r="329" spans="6:27" x14ac:dyDescent="0.2">
      <c r="I329" s="1"/>
      <c r="J329" s="1"/>
      <c r="K329" s="1"/>
      <c r="L329" s="1"/>
      <c r="M329" s="1"/>
      <c r="N329" s="1"/>
      <c r="O329" s="1"/>
      <c r="P329" s="1"/>
      <c r="Q329" s="1"/>
      <c r="S329" s="1"/>
      <c r="T329" s="1"/>
      <c r="U329" s="1"/>
      <c r="V329" s="1"/>
      <c r="X329" s="1"/>
      <c r="Y329" s="1"/>
      <c r="Z329" s="1"/>
      <c r="AA329" s="1"/>
    </row>
    <row r="330" spans="6:27" x14ac:dyDescent="0.2">
      <c r="M330" s="1"/>
    </row>
    <row r="331" spans="6:27" x14ac:dyDescent="0.2">
      <c r="F331" s="1"/>
      <c r="I331" s="1"/>
      <c r="J331" s="1"/>
      <c r="K331" s="1"/>
      <c r="L331" s="1"/>
      <c r="M331" s="1"/>
      <c r="N331" s="1"/>
      <c r="O331" s="1"/>
      <c r="P331" s="1"/>
      <c r="Q331" s="1"/>
      <c r="S331" s="1"/>
      <c r="T331" s="1"/>
      <c r="U331" s="1"/>
      <c r="V331" s="1"/>
      <c r="X331" s="1"/>
      <c r="Y331" s="1"/>
      <c r="Z331" s="1"/>
      <c r="AA331" s="1"/>
    </row>
    <row r="332" spans="6:27" x14ac:dyDescent="0.2">
      <c r="I332" s="1"/>
      <c r="J332" s="1"/>
      <c r="K332" s="1"/>
      <c r="L332" s="1"/>
      <c r="M332" s="1"/>
      <c r="N332" s="1"/>
      <c r="O332" s="1"/>
      <c r="P332" s="1"/>
      <c r="Q332" s="1"/>
      <c r="S332" s="1"/>
      <c r="T332" s="1"/>
      <c r="U332" s="1"/>
      <c r="V332" s="1"/>
      <c r="X332" s="1"/>
      <c r="Y332" s="1"/>
      <c r="Z332" s="1"/>
      <c r="AA332" s="1"/>
    </row>
    <row r="333" spans="6:27" x14ac:dyDescent="0.2">
      <c r="J333" s="1"/>
      <c r="M333" s="1"/>
      <c r="O333" s="1"/>
      <c r="T333" s="1"/>
      <c r="Y333" s="1"/>
    </row>
    <row r="334" spans="6:27" x14ac:dyDescent="0.2">
      <c r="J334" s="1"/>
      <c r="M334" s="1"/>
      <c r="O334" s="1"/>
      <c r="T334" s="1"/>
      <c r="Y334" s="1"/>
    </row>
    <row r="335" spans="6:27" x14ac:dyDescent="0.2">
      <c r="I335" s="1"/>
      <c r="J335" s="1"/>
      <c r="M335" s="1"/>
      <c r="N335" s="1"/>
      <c r="O335" s="1"/>
      <c r="S335" s="1"/>
      <c r="T335" s="1"/>
      <c r="X335" s="1"/>
      <c r="Y335" s="1"/>
    </row>
    <row r="336" spans="6:27" x14ac:dyDescent="0.2">
      <c r="I336" s="1"/>
      <c r="J336" s="1"/>
      <c r="M336" s="1"/>
      <c r="N336" s="1"/>
      <c r="O336" s="1"/>
      <c r="S336" s="1"/>
      <c r="T336" s="1"/>
      <c r="X336" s="1"/>
      <c r="Y336" s="1"/>
    </row>
    <row r="337" spans="2:25" x14ac:dyDescent="0.2">
      <c r="I337" s="1"/>
      <c r="J337" s="1"/>
      <c r="M337" s="1"/>
      <c r="N337" s="1"/>
      <c r="O337" s="1"/>
      <c r="S337" s="1"/>
      <c r="T337" s="1"/>
      <c r="X337" s="1"/>
      <c r="Y337" s="1"/>
    </row>
    <row r="338" spans="2:25" x14ac:dyDescent="0.2">
      <c r="I338" s="1"/>
      <c r="J338" s="1"/>
      <c r="M338" s="1"/>
      <c r="N338" s="1"/>
      <c r="O338" s="1"/>
      <c r="S338" s="1"/>
      <c r="T338" s="1"/>
      <c r="X338" s="1"/>
      <c r="Y338" s="1"/>
    </row>
    <row r="339" spans="2:25" x14ac:dyDescent="0.2">
      <c r="J339" s="1"/>
      <c r="M339" s="1"/>
      <c r="O339" s="1"/>
      <c r="T339" s="1"/>
      <c r="Y339" s="1"/>
    </row>
    <row r="340" spans="2:25" x14ac:dyDescent="0.2">
      <c r="M340" s="1"/>
    </row>
    <row r="343" spans="2:25" x14ac:dyDescent="0.2">
      <c r="B343" s="8" t="s">
        <v>5</v>
      </c>
    </row>
    <row r="344" spans="2:25" x14ac:dyDescent="0.2">
      <c r="B344" s="8" t="s">
        <v>6</v>
      </c>
      <c r="D344" s="6" t="s">
        <v>14</v>
      </c>
      <c r="E344" s="6">
        <v>1</v>
      </c>
    </row>
    <row r="345" spans="2:25" x14ac:dyDescent="0.2">
      <c r="B345" s="8" t="s">
        <v>7</v>
      </c>
      <c r="D345" s="6" t="s">
        <v>15</v>
      </c>
      <c r="E345" s="6">
        <v>2</v>
      </c>
    </row>
    <row r="346" spans="2:25" x14ac:dyDescent="0.2">
      <c r="B346" s="8" t="s">
        <v>8</v>
      </c>
      <c r="E346" s="6">
        <v>3</v>
      </c>
    </row>
    <row r="347" spans="2:25" x14ac:dyDescent="0.2">
      <c r="E347" s="6">
        <v>4</v>
      </c>
    </row>
    <row r="348" spans="2:25" x14ac:dyDescent="0.2">
      <c r="E348" s="6">
        <v>5</v>
      </c>
    </row>
    <row r="349" spans="2:25" x14ac:dyDescent="0.2">
      <c r="E349" s="6">
        <v>6</v>
      </c>
    </row>
    <row r="350" spans="2:25" x14ac:dyDescent="0.2">
      <c r="E350" s="6">
        <v>7</v>
      </c>
    </row>
    <row r="351" spans="2:25" x14ac:dyDescent="0.2">
      <c r="E351" s="6">
        <v>8</v>
      </c>
    </row>
    <row r="352" spans="2:25" x14ac:dyDescent="0.2">
      <c r="E352" s="6">
        <v>9</v>
      </c>
    </row>
    <row r="353" spans="5:5" x14ac:dyDescent="0.2">
      <c r="E353" s="6">
        <v>10</v>
      </c>
    </row>
    <row r="354" spans="5:5" x14ac:dyDescent="0.2">
      <c r="E354" s="6">
        <v>11</v>
      </c>
    </row>
    <row r="355" spans="5:5" x14ac:dyDescent="0.2">
      <c r="E355" s="6">
        <v>12</v>
      </c>
    </row>
  </sheetData>
  <mergeCells count="2">
    <mergeCell ref="D86:G86"/>
    <mergeCell ref="Z1:AA1"/>
  </mergeCells>
  <conditionalFormatting sqref="E9:G9">
    <cfRule type="colorScale" priority="9">
      <colorScale>
        <cfvo type="num" val="0"/>
        <cfvo type="num" val="0.75"/>
        <cfvo type="num" val="1"/>
        <color rgb="FFFF7128"/>
        <color rgb="FFFFEB84"/>
        <color theme="9" tint="-0.249977111117893"/>
      </colorScale>
    </cfRule>
  </conditionalFormatting>
  <conditionalFormatting sqref="E14:G14">
    <cfRule type="colorScale" priority="5">
      <colorScale>
        <cfvo type="num" val="0"/>
        <cfvo type="num" val="0.75"/>
        <cfvo type="num" val="1"/>
        <color rgb="FFFF7128"/>
        <color rgb="FFFFEB84"/>
        <color theme="9" tint="-0.249977111117893"/>
      </colorScale>
    </cfRule>
  </conditionalFormatting>
  <conditionalFormatting sqref="E23:G23">
    <cfRule type="colorScale" priority="10">
      <colorScale>
        <cfvo type="num" val="0"/>
        <cfvo type="num" val="0.75"/>
        <cfvo type="num" val="1"/>
        <color rgb="FFFF7128"/>
        <color rgb="FFFFEB84"/>
        <color theme="9" tint="-0.249977111117893"/>
      </colorScale>
    </cfRule>
  </conditionalFormatting>
  <conditionalFormatting sqref="E37:G37">
    <cfRule type="colorScale" priority="11">
      <colorScale>
        <cfvo type="num" val="0"/>
        <cfvo type="num" val="0.75"/>
        <cfvo type="num" val="1"/>
        <color rgb="FFFF7128"/>
        <color rgb="FFFFEB84"/>
        <color theme="9" tint="-0.249977111117893"/>
      </colorScale>
    </cfRule>
  </conditionalFormatting>
  <conditionalFormatting sqref="E42:G42">
    <cfRule type="colorScale" priority="12">
      <colorScale>
        <cfvo type="num" val="0"/>
        <cfvo type="num" val="0.75"/>
        <cfvo type="num" val="1"/>
        <color rgb="FFFF7128"/>
        <color rgb="FFFFEB84"/>
        <color theme="9" tint="-0.249977111117893"/>
      </colorScale>
    </cfRule>
  </conditionalFormatting>
  <conditionalFormatting sqref="E64:G64">
    <cfRule type="colorScale" priority="8">
      <colorScale>
        <cfvo type="num" val="0"/>
        <cfvo type="num" val="0.75"/>
        <cfvo type="num" val="1"/>
        <color rgb="FFFF7128"/>
        <color rgb="FFFFEB84"/>
        <color theme="9" tint="-0.249977111117893"/>
      </colorScale>
    </cfRule>
  </conditionalFormatting>
  <conditionalFormatting sqref="E69:G69">
    <cfRule type="colorScale" priority="4">
      <colorScale>
        <cfvo type="num" val="0"/>
        <cfvo type="num" val="0.75"/>
        <cfvo type="num" val="1"/>
        <color rgb="FFFF7128"/>
        <color rgb="FFFFEB84"/>
        <color theme="9" tint="-0.249977111117893"/>
      </colorScale>
    </cfRule>
  </conditionalFormatting>
  <conditionalFormatting sqref="E78:G78">
    <cfRule type="colorScale" priority="7">
      <colorScale>
        <cfvo type="num" val="0"/>
        <cfvo type="num" val="0.75"/>
        <cfvo type="num" val="1"/>
        <color rgb="FFFF7128"/>
        <color rgb="FFFFEB84"/>
        <color theme="9" tint="-0.249977111117893"/>
      </colorScale>
    </cfRule>
  </conditionalFormatting>
  <conditionalFormatting sqref="E83:G83">
    <cfRule type="colorScale" priority="3">
      <colorScale>
        <cfvo type="num" val="0"/>
        <cfvo type="num" val="0.75"/>
        <cfvo type="num" val="1"/>
        <color rgb="FFFF7128"/>
        <color rgb="FFFFEB84"/>
        <color theme="9" tint="-0.249977111117893"/>
      </colorScale>
    </cfRule>
  </conditionalFormatting>
  <conditionalFormatting sqref="E90:G90">
    <cfRule type="colorScale" priority="2">
      <colorScale>
        <cfvo type="num" val="0"/>
        <cfvo type="num" val="0.75"/>
        <cfvo type="num" val="1"/>
        <color rgb="FFFF7128"/>
        <color rgb="FFFFEB84"/>
        <color theme="9" tint="-0.249977111117893"/>
      </colorScale>
    </cfRule>
  </conditionalFormatting>
  <conditionalFormatting sqref="E95:G95">
    <cfRule type="colorScale" priority="1">
      <colorScale>
        <cfvo type="num" val="0"/>
        <cfvo type="num" val="0.75"/>
        <cfvo type="num" val="1"/>
        <color rgb="FFFF7128"/>
        <color rgb="FFFFEB84"/>
        <color theme="9" tint="-0.249977111117893"/>
      </colorScale>
    </cfRule>
  </conditionalFormatting>
  <conditionalFormatting sqref="F28:G28">
    <cfRule type="colorScale" priority="6">
      <colorScale>
        <cfvo type="num" val="0"/>
        <cfvo type="num" val="0.75"/>
        <cfvo type="num" val="1"/>
        <color rgb="FFFF7128"/>
        <color rgb="FFFFEB84"/>
        <color theme="9" tint="-0.249977111117893"/>
      </colorScale>
    </cfRule>
  </conditionalFormatting>
  <dataValidations count="3">
    <dataValidation type="list" allowBlank="1" showInputMessage="1" showErrorMessage="1" sqref="O116 Y329 T329 O329 J329 Y314 T314 O314 J314 Y241 T241 O241 J241 Y226 T226 O226 J226 Y102 T102 O102 J102 J116 Y256 T256 O256 J256 Y271 T271 O271 J271 Y286 T286 O286 J286 Y300 T300 O300 J300 Y18 T18 O18 J18 Y32 T32 O32 J32 Y116 T116 Y4 T4 O4 J4 O45 J45" xr:uid="{D48A4525-9A7D-7340-AD0A-A6BCB7C8C049}">
      <formula1>$E$344:$E$355</formula1>
    </dataValidation>
    <dataValidation type="list" allowBlank="1" showInputMessage="1" showErrorMessage="1" sqref="Q116 AA73 V73 Q73 L73 V59 Q59 L59 L32 V329 Q329 L329 AA314 V314 Q314 L314 AA241 V241 Q241 L241 AA226 V226 Q226 L226 AA102 V102 Q102 L102 L116 AA256 V256 Q256 L256 AA271 V271 Q271 L271 AA286 V286 Q286 L286 AA300 V300 Q300 L300 AA18 V18 Q18 L18 AA32 V32 Q32 AA329 AA116 V116 AA4 V4 Q4 L4 Q45 L45" xr:uid="{332357DA-B4A8-BF4A-9D0E-47B7FCB1317E}">
      <formula1>$D$344:$D$345</formula1>
    </dataValidation>
    <dataValidation type="list" allowBlank="1" showInputMessage="1" showErrorMessage="1" sqref="T117 Y74 T74 O74 J74 Y60 T60 O60 J60 J33 O330 T330 Y330 J315 O315 T315 Y315 J301 O301 T301 Y301 J287 O287 T287 Y287 J272 O272 T272 Y272 J257 O257 T257 Y257 Y117 J103 O103 T103 Y103 J227 O227 T227 Y227 J242 O242 T242 Y242 J19 O19 T19 Y19 J330 O33 T33 Y33 J117 O117 J5 O5 T5 Y5 J46 O46" xr:uid="{D0893AE7-BDD0-044A-A131-8458A5CF7F47}">
      <formula1>$B$343:$B$346</formula1>
    </dataValidation>
  </dataValidations>
  <pageMargins left="0.7" right="0.7" top="0.78740157499999996" bottom="0.78740157499999996" header="0.3" footer="0.3"/>
  <pageSetup paperSize="9" scale="32"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126BF-13BA-9C44-B0CC-267299648CBD}">
  <sheetPr>
    <pageSetUpPr fitToPage="1"/>
  </sheetPr>
  <dimension ref="A1:AL141"/>
  <sheetViews>
    <sheetView zoomScaleNormal="41" workbookViewId="0">
      <selection activeCell="C21" sqref="C21"/>
    </sheetView>
  </sheetViews>
  <sheetFormatPr baseColWidth="10" defaultColWidth="12.1640625" defaultRowHeight="16" outlineLevelRow="1" x14ac:dyDescent="0.2"/>
  <cols>
    <col min="1" max="1" width="14.1640625" style="9" customWidth="1"/>
    <col min="2" max="2" width="12.1640625" style="12"/>
    <col min="3" max="3" width="12.1640625" style="11"/>
    <col min="4" max="4" width="16.5" style="11" customWidth="1"/>
    <col min="5" max="5" width="12.1640625" style="11"/>
    <col min="6" max="6" width="16.5" style="11" customWidth="1"/>
    <col min="7" max="7" width="12.83203125" style="11" customWidth="1"/>
    <col min="8" max="8" width="4.33203125" style="11" customWidth="1"/>
    <col min="9" max="9" width="13.6640625" style="11" customWidth="1"/>
    <col min="10" max="12" width="12.1640625" style="11"/>
    <col min="13" max="13" width="3.5" style="11" customWidth="1"/>
    <col min="14" max="14" width="14.6640625" style="11" customWidth="1"/>
    <col min="15" max="17" width="12.1640625" style="11"/>
    <col min="18" max="18" width="3.83203125" style="11" customWidth="1"/>
    <col min="19" max="19" width="14" style="11" customWidth="1"/>
    <col min="20" max="22" width="12.1640625" style="11"/>
    <col min="23" max="23" width="3.83203125" style="11" customWidth="1"/>
    <col min="24" max="24" width="15" style="11" customWidth="1"/>
    <col min="25" max="25" width="9.33203125" style="11" customWidth="1"/>
    <col min="26" max="27" width="12.1640625" style="11"/>
    <col min="28" max="28" width="2.33203125" style="11" customWidth="1"/>
    <col min="29" max="16384" width="12.1640625" style="11"/>
  </cols>
  <sheetData>
    <row r="1" spans="1:27" ht="30" customHeight="1" x14ac:dyDescent="0.2">
      <c r="A1" s="32" t="s">
        <v>0</v>
      </c>
      <c r="B1" s="40" t="s">
        <v>68</v>
      </c>
      <c r="C1" s="32"/>
      <c r="D1" s="32"/>
      <c r="E1" s="32"/>
      <c r="F1" s="32"/>
      <c r="G1" s="32"/>
      <c r="H1" s="32"/>
      <c r="I1" s="60"/>
      <c r="J1" s="32"/>
      <c r="K1" s="32"/>
      <c r="L1" s="32"/>
      <c r="M1" s="32"/>
      <c r="N1" s="32"/>
      <c r="O1" s="32"/>
      <c r="P1" s="32"/>
      <c r="Q1" s="32"/>
      <c r="R1" s="32"/>
      <c r="S1" s="32"/>
      <c r="T1" s="32"/>
      <c r="U1" s="32"/>
      <c r="V1" s="32"/>
      <c r="W1" s="32"/>
      <c r="X1" s="32"/>
      <c r="Y1" s="32"/>
      <c r="Z1" s="76" t="s">
        <v>86</v>
      </c>
      <c r="AA1" s="76"/>
    </row>
    <row r="2" spans="1:27" ht="15" customHeight="1" x14ac:dyDescent="0.2">
      <c r="B2" s="10"/>
      <c r="C2" s="9"/>
      <c r="D2" s="9"/>
      <c r="E2" s="9"/>
      <c r="F2" s="9"/>
      <c r="G2" s="9"/>
      <c r="H2" s="9"/>
      <c r="I2" s="9"/>
      <c r="J2" s="9"/>
      <c r="K2" s="9"/>
      <c r="L2" s="9"/>
      <c r="M2" s="9"/>
    </row>
    <row r="3" spans="1:27" ht="34" customHeight="1" x14ac:dyDescent="0.2">
      <c r="A3" s="9" t="s">
        <v>73</v>
      </c>
      <c r="B3" s="10">
        <v>55</v>
      </c>
      <c r="C3" s="9"/>
      <c r="D3" s="9"/>
      <c r="E3" s="9"/>
      <c r="F3" s="9"/>
      <c r="G3" s="9"/>
      <c r="H3" s="9"/>
      <c r="I3" s="9"/>
      <c r="J3" s="9"/>
      <c r="K3" s="9"/>
      <c r="L3" s="9"/>
      <c r="M3" s="9"/>
    </row>
    <row r="4" spans="1:27" ht="16" customHeight="1" outlineLevel="1" x14ac:dyDescent="0.2">
      <c r="I4" s="46" t="s">
        <v>77</v>
      </c>
      <c r="J4" s="46">
        <v>1</v>
      </c>
      <c r="K4" s="46" t="s">
        <v>12</v>
      </c>
      <c r="L4" s="46" t="s">
        <v>15</v>
      </c>
      <c r="M4" s="44"/>
      <c r="N4" s="46" t="s">
        <v>77</v>
      </c>
      <c r="O4" s="46">
        <v>2</v>
      </c>
      <c r="P4" s="46" t="s">
        <v>12</v>
      </c>
      <c r="Q4" s="46" t="s">
        <v>15</v>
      </c>
      <c r="R4" s="45"/>
      <c r="S4" s="46" t="s">
        <v>77</v>
      </c>
      <c r="T4" s="46">
        <v>3</v>
      </c>
      <c r="U4" s="46" t="s">
        <v>12</v>
      </c>
      <c r="V4" s="46" t="s">
        <v>15</v>
      </c>
      <c r="W4" s="45"/>
    </row>
    <row r="5" spans="1:27" outlineLevel="1" x14ac:dyDescent="0.2">
      <c r="I5" s="47" t="s">
        <v>11</v>
      </c>
      <c r="J5" s="72" t="s">
        <v>6</v>
      </c>
      <c r="K5" s="47"/>
      <c r="L5" s="47"/>
      <c r="M5" s="44"/>
      <c r="N5" s="47" t="s">
        <v>11</v>
      </c>
      <c r="O5" s="72" t="s">
        <v>7</v>
      </c>
      <c r="P5" s="47"/>
      <c r="Q5" s="47"/>
      <c r="R5" s="45"/>
      <c r="S5" s="47" t="s">
        <v>11</v>
      </c>
      <c r="T5" s="72" t="s">
        <v>5</v>
      </c>
      <c r="U5" s="47"/>
      <c r="V5" s="47"/>
      <c r="W5" s="45"/>
    </row>
    <row r="6" spans="1:27" ht="18" customHeight="1" outlineLevel="1" x14ac:dyDescent="0.2">
      <c r="D6" s="47"/>
      <c r="E6" s="47" t="s">
        <v>60</v>
      </c>
      <c r="F6" s="46" t="s">
        <v>61</v>
      </c>
      <c r="G6" s="47" t="s">
        <v>43</v>
      </c>
      <c r="H6" s="45"/>
      <c r="I6" s="46" t="s">
        <v>9</v>
      </c>
      <c r="J6" s="46" t="s">
        <v>66</v>
      </c>
      <c r="K6" s="46" t="s">
        <v>60</v>
      </c>
      <c r="L6" s="46" t="s">
        <v>62</v>
      </c>
      <c r="M6" s="44"/>
      <c r="N6" s="46" t="s">
        <v>9</v>
      </c>
      <c r="O6" s="46" t="s">
        <v>66</v>
      </c>
      <c r="P6" s="46" t="s">
        <v>60</v>
      </c>
      <c r="Q6" s="46" t="s">
        <v>62</v>
      </c>
      <c r="R6" s="45"/>
      <c r="S6" s="46" t="s">
        <v>9</v>
      </c>
      <c r="T6" s="46" t="s">
        <v>66</v>
      </c>
      <c r="U6" s="46" t="s">
        <v>60</v>
      </c>
      <c r="V6" s="46" t="s">
        <v>62</v>
      </c>
      <c r="W6" s="45"/>
    </row>
    <row r="7" spans="1:27" outlineLevel="1" x14ac:dyDescent="0.2">
      <c r="D7" s="47" t="s">
        <v>16</v>
      </c>
      <c r="E7" s="47">
        <f>SUM(K15,P15,U15,K28,P28,U28)</f>
        <v>217</v>
      </c>
      <c r="F7" s="47">
        <f>SUM(L15,Q15,V15,L28,Q28,V28)</f>
        <v>29</v>
      </c>
      <c r="G7" s="47">
        <f>SUM(E7:F7)</f>
        <v>246</v>
      </c>
      <c r="H7" s="45"/>
      <c r="I7" s="46">
        <v>1</v>
      </c>
      <c r="J7" s="46">
        <f>SUM(K7,L7)</f>
        <v>2</v>
      </c>
      <c r="K7" s="46">
        <v>2</v>
      </c>
      <c r="L7" s="46">
        <v>0</v>
      </c>
      <c r="M7" s="44"/>
      <c r="N7" s="46">
        <v>1</v>
      </c>
      <c r="O7" s="46">
        <f>SUM(P7,Q7)</f>
        <v>15</v>
      </c>
      <c r="P7" s="46">
        <v>15</v>
      </c>
      <c r="Q7" s="46">
        <v>0</v>
      </c>
      <c r="R7" s="45"/>
      <c r="S7" s="46">
        <v>1</v>
      </c>
      <c r="T7" s="46">
        <f>SUM(U7,V7)</f>
        <v>18</v>
      </c>
      <c r="U7" s="46">
        <v>17</v>
      </c>
      <c r="V7" s="46">
        <v>1</v>
      </c>
      <c r="W7" s="45"/>
    </row>
    <row r="8" spans="1:27" outlineLevel="1" x14ac:dyDescent="0.2">
      <c r="D8" s="47" t="s">
        <v>17</v>
      </c>
      <c r="E8" s="47">
        <v>108</v>
      </c>
      <c r="F8" s="47">
        <v>69</v>
      </c>
      <c r="G8" s="47">
        <f>SUM(E8:F8)</f>
        <v>177</v>
      </c>
      <c r="H8" s="45"/>
      <c r="I8" s="47">
        <v>2</v>
      </c>
      <c r="J8" s="46">
        <f t="shared" ref="J8:J14" si="0">SUM(K8,L8)</f>
        <v>5</v>
      </c>
      <c r="K8" s="47">
        <v>5</v>
      </c>
      <c r="L8" s="47">
        <v>0</v>
      </c>
      <c r="M8" s="44"/>
      <c r="N8" s="47">
        <v>2</v>
      </c>
      <c r="O8" s="46">
        <f t="shared" ref="O8:O14" si="1">SUM(P8,Q8)</f>
        <v>16</v>
      </c>
      <c r="P8" s="47">
        <v>16</v>
      </c>
      <c r="Q8" s="47">
        <v>0</v>
      </c>
      <c r="R8" s="45"/>
      <c r="S8" s="47">
        <v>2</v>
      </c>
      <c r="T8" s="46">
        <f t="shared" ref="T8:T14" si="2">SUM(U8,V8)</f>
        <v>18</v>
      </c>
      <c r="U8" s="47">
        <v>18</v>
      </c>
      <c r="V8" s="47">
        <v>0</v>
      </c>
      <c r="W8" s="45"/>
    </row>
    <row r="9" spans="1:27" outlineLevel="1" x14ac:dyDescent="0.2">
      <c r="D9" s="47" t="s">
        <v>40</v>
      </c>
      <c r="E9" s="48">
        <f>MIN(E7,E8)/MAX(E7,E8)</f>
        <v>0.49769585253456222</v>
      </c>
      <c r="F9" s="48">
        <f>MIN(F7,F8)/MAX(F7,F8)</f>
        <v>0.42028985507246375</v>
      </c>
      <c r="G9" s="48">
        <f>MIN(G7,G8)/MAX(G7,G8)</f>
        <v>0.71951219512195119</v>
      </c>
      <c r="H9" s="45"/>
      <c r="I9" s="47">
        <v>3</v>
      </c>
      <c r="J9" s="46">
        <f t="shared" si="0"/>
        <v>5</v>
      </c>
      <c r="K9" s="47">
        <v>5</v>
      </c>
      <c r="L9" s="47">
        <v>0</v>
      </c>
      <c r="M9" s="44"/>
      <c r="N9" s="47">
        <v>3</v>
      </c>
      <c r="O9" s="46">
        <f t="shared" si="1"/>
        <v>16</v>
      </c>
      <c r="P9" s="47">
        <v>16</v>
      </c>
      <c r="Q9" s="47">
        <v>0</v>
      </c>
      <c r="R9" s="45"/>
      <c r="S9" s="47">
        <v>3</v>
      </c>
      <c r="T9" s="46">
        <f t="shared" si="2"/>
        <v>18</v>
      </c>
      <c r="U9" s="47">
        <v>18</v>
      </c>
      <c r="V9" s="47">
        <v>0</v>
      </c>
      <c r="W9" s="45"/>
    </row>
    <row r="10" spans="1:27" outlineLevel="1" x14ac:dyDescent="0.2">
      <c r="D10" s="49"/>
      <c r="E10" s="49"/>
      <c r="F10" s="49"/>
      <c r="G10" s="49"/>
      <c r="I10" s="46">
        <v>4</v>
      </c>
      <c r="J10" s="46">
        <f t="shared" si="0"/>
        <v>5</v>
      </c>
      <c r="K10" s="47">
        <v>5</v>
      </c>
      <c r="L10" s="47">
        <v>0</v>
      </c>
      <c r="M10" s="44"/>
      <c r="N10" s="46">
        <v>4</v>
      </c>
      <c r="O10" s="46">
        <f t="shared" si="1"/>
        <v>16</v>
      </c>
      <c r="P10" s="47">
        <v>16</v>
      </c>
      <c r="Q10" s="47">
        <v>0</v>
      </c>
      <c r="R10" s="45"/>
      <c r="S10" s="46">
        <v>4</v>
      </c>
      <c r="T10" s="46">
        <f t="shared" si="2"/>
        <v>18</v>
      </c>
      <c r="U10" s="47">
        <v>18</v>
      </c>
      <c r="V10" s="47">
        <v>0</v>
      </c>
      <c r="W10" s="45"/>
    </row>
    <row r="11" spans="1:27" ht="18" customHeight="1" outlineLevel="1" x14ac:dyDescent="0.2">
      <c r="B11" s="87" t="s">
        <v>45</v>
      </c>
      <c r="C11" s="45"/>
      <c r="D11" s="47" t="s">
        <v>0</v>
      </c>
      <c r="E11" s="46" t="s">
        <v>63</v>
      </c>
      <c r="F11" s="46" t="s">
        <v>64</v>
      </c>
      <c r="G11" s="47" t="s">
        <v>37</v>
      </c>
      <c r="H11" s="45"/>
      <c r="I11" s="46">
        <v>5</v>
      </c>
      <c r="J11" s="46">
        <f t="shared" si="0"/>
        <v>0</v>
      </c>
      <c r="K11" s="47"/>
      <c r="L11" s="47">
        <v>0</v>
      </c>
      <c r="M11" s="44"/>
      <c r="N11" s="46">
        <v>5</v>
      </c>
      <c r="O11" s="46">
        <f t="shared" si="1"/>
        <v>0</v>
      </c>
      <c r="P11" s="47"/>
      <c r="Q11" s="47">
        <v>0</v>
      </c>
      <c r="R11" s="45"/>
      <c r="S11" s="46">
        <v>5</v>
      </c>
      <c r="T11" s="46">
        <f t="shared" si="2"/>
        <v>0</v>
      </c>
      <c r="U11" s="47"/>
      <c r="V11" s="47">
        <v>0</v>
      </c>
      <c r="W11" s="45"/>
    </row>
    <row r="12" spans="1:27" outlineLevel="1" x14ac:dyDescent="0.2">
      <c r="B12" s="87"/>
      <c r="C12" s="45"/>
      <c r="D12" s="47" t="s">
        <v>16</v>
      </c>
      <c r="E12" s="47">
        <f>SUM(P15,K15,U15)</f>
        <v>151</v>
      </c>
      <c r="F12" s="47">
        <f>SUM(Q15,L15,L28)</f>
        <v>6</v>
      </c>
      <c r="G12" s="47">
        <f>SUM(E12:F12)</f>
        <v>157</v>
      </c>
      <c r="H12" s="45"/>
      <c r="I12" s="46">
        <v>6</v>
      </c>
      <c r="J12" s="46">
        <f t="shared" si="0"/>
        <v>0</v>
      </c>
      <c r="K12" s="47"/>
      <c r="L12" s="47">
        <v>0</v>
      </c>
      <c r="M12" s="44"/>
      <c r="N12" s="46">
        <v>6</v>
      </c>
      <c r="O12" s="46">
        <f t="shared" si="1"/>
        <v>0</v>
      </c>
      <c r="P12" s="47"/>
      <c r="Q12" s="47">
        <v>0</v>
      </c>
      <c r="R12" s="45"/>
      <c r="S12" s="46">
        <v>6</v>
      </c>
      <c r="T12" s="46">
        <f t="shared" si="2"/>
        <v>0</v>
      </c>
      <c r="U12" s="47"/>
      <c r="V12" s="47">
        <v>0</v>
      </c>
      <c r="W12" s="45"/>
    </row>
    <row r="13" spans="1:27" outlineLevel="1" x14ac:dyDescent="0.2">
      <c r="B13" s="87" t="s">
        <v>75</v>
      </c>
      <c r="C13" s="45"/>
      <c r="D13" s="47" t="s">
        <v>17</v>
      </c>
      <c r="E13" s="47">
        <v>92</v>
      </c>
      <c r="F13" s="47">
        <v>59</v>
      </c>
      <c r="G13" s="47">
        <f>SUM(E13:F13)</f>
        <v>151</v>
      </c>
      <c r="H13" s="45"/>
      <c r="I13" s="46">
        <v>7</v>
      </c>
      <c r="J13" s="46">
        <f t="shared" si="0"/>
        <v>0</v>
      </c>
      <c r="K13" s="47"/>
      <c r="L13" s="47">
        <v>0</v>
      </c>
      <c r="M13" s="44"/>
      <c r="N13" s="46">
        <v>7</v>
      </c>
      <c r="O13" s="46">
        <f t="shared" si="1"/>
        <v>0</v>
      </c>
      <c r="P13" s="47"/>
      <c r="Q13" s="47">
        <v>0</v>
      </c>
      <c r="R13" s="45"/>
      <c r="S13" s="46">
        <v>7</v>
      </c>
      <c r="T13" s="46">
        <f t="shared" si="2"/>
        <v>0</v>
      </c>
      <c r="U13" s="47"/>
      <c r="V13" s="47">
        <v>0</v>
      </c>
      <c r="W13" s="45"/>
    </row>
    <row r="14" spans="1:27" outlineLevel="1" x14ac:dyDescent="0.2">
      <c r="B14" s="87"/>
      <c r="C14" s="45"/>
      <c r="D14" s="47" t="s">
        <v>40</v>
      </c>
      <c r="E14" s="48">
        <f>MIN(E12,E13)/MAX(E12,E13)</f>
        <v>0.60927152317880795</v>
      </c>
      <c r="F14" s="48">
        <f>MIN(F12,F13)/MAX(F12,F13)</f>
        <v>0.10169491525423729</v>
      </c>
      <c r="G14" s="48">
        <f>MIN(G12,G13)/MAX(G12,G13)</f>
        <v>0.96178343949044587</v>
      </c>
      <c r="H14" s="45"/>
      <c r="I14" s="47" t="s">
        <v>10</v>
      </c>
      <c r="J14" s="46">
        <f t="shared" si="0"/>
        <v>0</v>
      </c>
      <c r="K14" s="47"/>
      <c r="L14" s="47">
        <v>0</v>
      </c>
      <c r="M14" s="44"/>
      <c r="N14" s="47" t="s">
        <v>10</v>
      </c>
      <c r="O14" s="46">
        <f t="shared" si="1"/>
        <v>0</v>
      </c>
      <c r="P14" s="47"/>
      <c r="Q14" s="47">
        <v>0</v>
      </c>
      <c r="R14" s="45"/>
      <c r="S14" s="47" t="s">
        <v>10</v>
      </c>
      <c r="T14" s="46">
        <f t="shared" si="2"/>
        <v>0</v>
      </c>
      <c r="U14" s="47"/>
      <c r="V14" s="47">
        <v>0</v>
      </c>
      <c r="W14" s="45"/>
    </row>
    <row r="15" spans="1:27" outlineLevel="1" x14ac:dyDescent="0.2">
      <c r="B15" s="51"/>
      <c r="D15" s="49"/>
      <c r="E15" s="49"/>
      <c r="F15" s="49"/>
      <c r="G15" s="49"/>
      <c r="I15" s="47" t="s">
        <v>13</v>
      </c>
      <c r="J15" s="47">
        <f>(SUM(J7:J14))</f>
        <v>17</v>
      </c>
      <c r="K15" s="47">
        <f>(SUM(K7:K14))</f>
        <v>17</v>
      </c>
      <c r="L15" s="47">
        <f>(SUM(L7:L14))</f>
        <v>0</v>
      </c>
      <c r="M15" s="44"/>
      <c r="N15" s="47" t="s">
        <v>13</v>
      </c>
      <c r="O15" s="47">
        <f>(SUM(O7:O14))</f>
        <v>63</v>
      </c>
      <c r="P15" s="47">
        <f>(SUM(P7:P14))</f>
        <v>63</v>
      </c>
      <c r="Q15" s="47">
        <f>(SUM(Q7:Q14))</f>
        <v>0</v>
      </c>
      <c r="R15" s="45"/>
      <c r="S15" s="47" t="s">
        <v>13</v>
      </c>
      <c r="T15" s="47">
        <f>(SUM(T7:T14))</f>
        <v>72</v>
      </c>
      <c r="U15" s="47">
        <f>(SUM(U7:U14))</f>
        <v>71</v>
      </c>
      <c r="V15" s="47">
        <f>(SUM(V7:V14))</f>
        <v>1</v>
      </c>
      <c r="W15" s="45"/>
    </row>
    <row r="16" spans="1:27" outlineLevel="1" x14ac:dyDescent="0.2">
      <c r="I16" s="49"/>
      <c r="J16" s="49"/>
      <c r="K16" s="49"/>
      <c r="L16" s="49"/>
      <c r="M16" s="9"/>
      <c r="N16" s="49"/>
      <c r="O16" s="49"/>
      <c r="P16" s="49"/>
      <c r="Q16" s="49"/>
      <c r="S16" s="49"/>
      <c r="T16" s="49"/>
      <c r="U16" s="49"/>
      <c r="V16" s="49"/>
    </row>
    <row r="17" spans="1:27" ht="18" customHeight="1" outlineLevel="1" x14ac:dyDescent="0.2">
      <c r="I17" s="46" t="s">
        <v>77</v>
      </c>
      <c r="J17" s="46">
        <v>4</v>
      </c>
      <c r="K17" s="46" t="s">
        <v>12</v>
      </c>
      <c r="L17" s="46" t="s">
        <v>14</v>
      </c>
      <c r="M17" s="45"/>
      <c r="N17" s="46" t="s">
        <v>77</v>
      </c>
      <c r="O17" s="46">
        <v>5</v>
      </c>
      <c r="P17" s="46" t="s">
        <v>12</v>
      </c>
      <c r="Q17" s="46" t="s">
        <v>14</v>
      </c>
      <c r="R17" s="45"/>
      <c r="S17" s="46" t="s">
        <v>77</v>
      </c>
      <c r="T17" s="46">
        <v>6</v>
      </c>
      <c r="U17" s="46" t="s">
        <v>12</v>
      </c>
      <c r="V17" s="46" t="s">
        <v>14</v>
      </c>
      <c r="W17" s="45"/>
    </row>
    <row r="18" spans="1:27" x14ac:dyDescent="0.2">
      <c r="I18" s="47" t="s">
        <v>11</v>
      </c>
      <c r="J18" s="72" t="s">
        <v>8</v>
      </c>
      <c r="K18" s="47"/>
      <c r="L18" s="47"/>
      <c r="M18" s="45"/>
      <c r="N18" s="47" t="s">
        <v>11</v>
      </c>
      <c r="O18" s="72" t="s">
        <v>5</v>
      </c>
      <c r="P18" s="47"/>
      <c r="Q18" s="47"/>
      <c r="R18" s="45"/>
      <c r="S18" s="47" t="s">
        <v>11</v>
      </c>
      <c r="T18" s="72" t="s">
        <v>7</v>
      </c>
      <c r="U18" s="47"/>
      <c r="V18" s="47"/>
      <c r="W18" s="45"/>
    </row>
    <row r="19" spans="1:27" ht="16" customHeight="1" x14ac:dyDescent="0.2">
      <c r="I19" s="46" t="s">
        <v>9</v>
      </c>
      <c r="J19" s="46" t="s">
        <v>66</v>
      </c>
      <c r="K19" s="46" t="s">
        <v>60</v>
      </c>
      <c r="L19" s="46" t="s">
        <v>62</v>
      </c>
      <c r="M19" s="45"/>
      <c r="N19" s="46" t="s">
        <v>9</v>
      </c>
      <c r="O19" s="46" t="s">
        <v>66</v>
      </c>
      <c r="P19" s="46" t="s">
        <v>60</v>
      </c>
      <c r="Q19" s="46" t="s">
        <v>62</v>
      </c>
      <c r="R19" s="45"/>
      <c r="S19" s="46" t="s">
        <v>9</v>
      </c>
      <c r="T19" s="46" t="s">
        <v>66</v>
      </c>
      <c r="U19" s="46" t="s">
        <v>60</v>
      </c>
      <c r="V19" s="46" t="s">
        <v>62</v>
      </c>
      <c r="W19" s="45"/>
    </row>
    <row r="20" spans="1:27" outlineLevel="1" x14ac:dyDescent="0.2">
      <c r="I20" s="46">
        <v>1</v>
      </c>
      <c r="J20" s="46">
        <f t="shared" ref="J20:J27" si="3">SUM(K20,L20)</f>
        <v>4</v>
      </c>
      <c r="K20" s="46">
        <v>4</v>
      </c>
      <c r="L20" s="46">
        <v>0</v>
      </c>
      <c r="M20" s="45"/>
      <c r="N20" s="46">
        <v>1</v>
      </c>
      <c r="O20" s="46">
        <f t="shared" ref="O20:O27" si="4">SUM(P20,Q20)</f>
        <v>5</v>
      </c>
      <c r="P20" s="46">
        <v>5</v>
      </c>
      <c r="Q20" s="46">
        <v>0</v>
      </c>
      <c r="R20" s="45"/>
      <c r="S20" s="46">
        <v>1</v>
      </c>
      <c r="T20" s="46">
        <f>SUM(U20,V20)</f>
        <v>4</v>
      </c>
      <c r="U20" s="46">
        <v>4</v>
      </c>
      <c r="V20" s="46">
        <v>0</v>
      </c>
      <c r="W20" s="45"/>
    </row>
    <row r="21" spans="1:27" outlineLevel="1" x14ac:dyDescent="0.2">
      <c r="I21" s="47">
        <v>2</v>
      </c>
      <c r="J21" s="46">
        <f t="shared" si="3"/>
        <v>4</v>
      </c>
      <c r="K21" s="47">
        <v>4</v>
      </c>
      <c r="L21" s="47">
        <v>0</v>
      </c>
      <c r="M21" s="45"/>
      <c r="N21" s="47">
        <v>2</v>
      </c>
      <c r="O21" s="46">
        <f t="shared" si="4"/>
        <v>7</v>
      </c>
      <c r="P21" s="47">
        <v>7</v>
      </c>
      <c r="Q21" s="47">
        <v>0</v>
      </c>
      <c r="R21" s="45"/>
      <c r="S21" s="47">
        <v>2</v>
      </c>
      <c r="T21" s="46">
        <f t="shared" ref="T21:T27" si="5">SUM(U21,V21)</f>
        <v>6</v>
      </c>
      <c r="U21" s="47">
        <v>6</v>
      </c>
      <c r="V21" s="47">
        <v>0</v>
      </c>
      <c r="W21" s="45"/>
    </row>
    <row r="22" spans="1:27" outlineLevel="1" x14ac:dyDescent="0.2">
      <c r="I22" s="47">
        <v>3</v>
      </c>
      <c r="J22" s="46">
        <f t="shared" si="3"/>
        <v>4</v>
      </c>
      <c r="K22" s="47">
        <v>4</v>
      </c>
      <c r="L22" s="47">
        <v>0</v>
      </c>
      <c r="M22" s="45"/>
      <c r="N22" s="47">
        <v>3</v>
      </c>
      <c r="O22" s="46">
        <f t="shared" si="4"/>
        <v>7</v>
      </c>
      <c r="P22" s="47">
        <v>7</v>
      </c>
      <c r="Q22" s="47">
        <v>0</v>
      </c>
      <c r="R22" s="45"/>
      <c r="S22" s="47">
        <v>3</v>
      </c>
      <c r="T22" s="46">
        <f t="shared" si="5"/>
        <v>6</v>
      </c>
      <c r="U22" s="47">
        <v>6</v>
      </c>
      <c r="V22" s="47">
        <v>0</v>
      </c>
      <c r="W22" s="45"/>
    </row>
    <row r="23" spans="1:27" outlineLevel="1" x14ac:dyDescent="0.2">
      <c r="I23" s="46">
        <v>4</v>
      </c>
      <c r="J23" s="46">
        <f t="shared" si="3"/>
        <v>4</v>
      </c>
      <c r="K23" s="47">
        <v>4</v>
      </c>
      <c r="L23" s="47">
        <v>0</v>
      </c>
      <c r="M23" s="45"/>
      <c r="N23" s="46">
        <v>4</v>
      </c>
      <c r="O23" s="46">
        <f t="shared" si="4"/>
        <v>8</v>
      </c>
      <c r="P23" s="47">
        <v>8</v>
      </c>
      <c r="Q23" s="47">
        <v>0</v>
      </c>
      <c r="R23" s="45"/>
      <c r="S23" s="46">
        <v>4</v>
      </c>
      <c r="T23" s="46">
        <f t="shared" si="5"/>
        <v>7</v>
      </c>
      <c r="U23" s="47">
        <v>7</v>
      </c>
      <c r="V23" s="47">
        <v>0</v>
      </c>
      <c r="W23" s="45"/>
    </row>
    <row r="24" spans="1:27" outlineLevel="1" x14ac:dyDescent="0.2">
      <c r="I24" s="46">
        <v>5</v>
      </c>
      <c r="J24" s="46">
        <f t="shared" si="3"/>
        <v>0</v>
      </c>
      <c r="K24" s="47"/>
      <c r="L24" s="47">
        <v>0</v>
      </c>
      <c r="M24" s="45"/>
      <c r="N24" s="46">
        <v>5</v>
      </c>
      <c r="O24" s="46">
        <f t="shared" si="4"/>
        <v>0</v>
      </c>
      <c r="P24" s="47"/>
      <c r="Q24" s="47">
        <v>0</v>
      </c>
      <c r="R24" s="45"/>
      <c r="S24" s="46">
        <v>5</v>
      </c>
      <c r="T24" s="46">
        <f t="shared" si="5"/>
        <v>0</v>
      </c>
      <c r="U24" s="47"/>
      <c r="V24" s="47">
        <v>0</v>
      </c>
      <c r="W24" s="45"/>
    </row>
    <row r="25" spans="1:27" outlineLevel="1" x14ac:dyDescent="0.2">
      <c r="I25" s="46">
        <v>6</v>
      </c>
      <c r="J25" s="46">
        <f t="shared" si="3"/>
        <v>0</v>
      </c>
      <c r="K25" s="47"/>
      <c r="L25" s="47">
        <v>0</v>
      </c>
      <c r="M25" s="45"/>
      <c r="N25" s="46">
        <v>6</v>
      </c>
      <c r="O25" s="46">
        <f t="shared" si="4"/>
        <v>0</v>
      </c>
      <c r="P25" s="47"/>
      <c r="Q25" s="47">
        <v>0</v>
      </c>
      <c r="R25" s="45"/>
      <c r="S25" s="46">
        <v>6</v>
      </c>
      <c r="T25" s="46">
        <f t="shared" si="5"/>
        <v>0</v>
      </c>
      <c r="U25" s="47"/>
      <c r="V25" s="47">
        <v>0</v>
      </c>
      <c r="W25" s="45"/>
    </row>
    <row r="26" spans="1:27" outlineLevel="1" x14ac:dyDescent="0.2">
      <c r="I26" s="46">
        <v>7</v>
      </c>
      <c r="J26" s="46">
        <f t="shared" si="3"/>
        <v>0</v>
      </c>
      <c r="K26" s="47"/>
      <c r="L26" s="47">
        <v>0</v>
      </c>
      <c r="M26" s="45"/>
      <c r="N26" s="46">
        <v>7</v>
      </c>
      <c r="O26" s="46">
        <f t="shared" si="4"/>
        <v>0</v>
      </c>
      <c r="P26" s="47"/>
      <c r="Q26" s="47">
        <v>0</v>
      </c>
      <c r="R26" s="45"/>
      <c r="S26" s="46">
        <v>7</v>
      </c>
      <c r="T26" s="46">
        <f t="shared" si="5"/>
        <v>0</v>
      </c>
      <c r="U26" s="47"/>
      <c r="V26" s="47">
        <v>0</v>
      </c>
      <c r="W26" s="45"/>
    </row>
    <row r="27" spans="1:27" outlineLevel="1" x14ac:dyDescent="0.2">
      <c r="I27" s="47" t="s">
        <v>10</v>
      </c>
      <c r="J27" s="46">
        <f t="shared" si="3"/>
        <v>6</v>
      </c>
      <c r="K27" s="47"/>
      <c r="L27" s="47">
        <v>6</v>
      </c>
      <c r="M27" s="45"/>
      <c r="N27" s="47" t="s">
        <v>10</v>
      </c>
      <c r="O27" s="46">
        <f t="shared" si="4"/>
        <v>12</v>
      </c>
      <c r="P27" s="47"/>
      <c r="Q27" s="47">
        <v>12</v>
      </c>
      <c r="R27" s="45"/>
      <c r="S27" s="47" t="s">
        <v>10</v>
      </c>
      <c r="T27" s="46">
        <f t="shared" si="5"/>
        <v>10</v>
      </c>
      <c r="U27" s="47"/>
      <c r="V27" s="47">
        <v>10</v>
      </c>
      <c r="W27" s="45"/>
    </row>
    <row r="28" spans="1:27" outlineLevel="1" x14ac:dyDescent="0.2">
      <c r="I28" s="47" t="s">
        <v>13</v>
      </c>
      <c r="J28" s="47">
        <f>(SUM(J20:J27))</f>
        <v>22</v>
      </c>
      <c r="K28" s="47">
        <f>(SUM(K20:K27))</f>
        <v>16</v>
      </c>
      <c r="L28" s="47">
        <f>(SUM(L20:L27))</f>
        <v>6</v>
      </c>
      <c r="M28" s="45"/>
      <c r="N28" s="47" t="s">
        <v>13</v>
      </c>
      <c r="O28" s="47">
        <f>(SUM(O20:O27))</f>
        <v>39</v>
      </c>
      <c r="P28" s="47">
        <f>(SUM(P20:P27))</f>
        <v>27</v>
      </c>
      <c r="Q28" s="47">
        <f>(SUM(Q20:Q27))</f>
        <v>12</v>
      </c>
      <c r="R28" s="45"/>
      <c r="S28" s="47" t="s">
        <v>13</v>
      </c>
      <c r="T28" s="47">
        <f>(SUM(T20:T27))</f>
        <v>33</v>
      </c>
      <c r="U28" s="47">
        <f>(SUM(U20:U27))</f>
        <v>23</v>
      </c>
      <c r="V28" s="47">
        <f>(SUM(V20:V27))</f>
        <v>10</v>
      </c>
      <c r="W28" s="45"/>
    </row>
    <row r="29" spans="1:27" outlineLevel="1" x14ac:dyDescent="0.2">
      <c r="I29" s="49"/>
      <c r="J29" s="49"/>
      <c r="K29" s="49"/>
      <c r="L29" s="49"/>
      <c r="M29" s="9"/>
      <c r="N29" s="49"/>
      <c r="O29" s="49"/>
      <c r="P29" s="49"/>
      <c r="Q29" s="49"/>
      <c r="S29" s="49"/>
      <c r="T29" s="49"/>
      <c r="U29" s="49"/>
      <c r="V29" s="49"/>
    </row>
    <row r="30" spans="1:27" outlineLevel="1" x14ac:dyDescent="0.2">
      <c r="B30" s="10"/>
      <c r="C30" s="9"/>
      <c r="D30" s="9"/>
      <c r="E30" s="9"/>
      <c r="F30" s="9"/>
      <c r="G30" s="9"/>
      <c r="H30" s="9"/>
      <c r="I30" s="9"/>
      <c r="J30" s="9"/>
      <c r="K30" s="9"/>
      <c r="L30" s="9"/>
      <c r="M30" s="9"/>
    </row>
    <row r="31" spans="1:27" ht="34" x14ac:dyDescent="0.2">
      <c r="A31" s="9" t="s">
        <v>23</v>
      </c>
      <c r="B31" s="10">
        <v>3</v>
      </c>
      <c r="C31" s="9"/>
      <c r="I31" s="46" t="s">
        <v>77</v>
      </c>
      <c r="J31" s="46">
        <v>1</v>
      </c>
      <c r="K31" s="46" t="s">
        <v>12</v>
      </c>
      <c r="L31" s="46" t="s">
        <v>15</v>
      </c>
      <c r="M31" s="44"/>
      <c r="N31" s="46" t="s">
        <v>77</v>
      </c>
      <c r="O31" s="46">
        <v>2</v>
      </c>
      <c r="P31" s="46" t="s">
        <v>12</v>
      </c>
      <c r="Q31" s="46" t="s">
        <v>14</v>
      </c>
      <c r="R31" s="45"/>
      <c r="S31" s="9"/>
      <c r="T31" s="9"/>
      <c r="U31" s="9"/>
      <c r="V31" s="9"/>
      <c r="X31" s="9"/>
      <c r="Y31" s="9"/>
      <c r="Z31" s="9"/>
      <c r="AA31" s="9"/>
    </row>
    <row r="32" spans="1:27" ht="15" customHeight="1" outlineLevel="1" x14ac:dyDescent="0.2">
      <c r="B32" s="10"/>
      <c r="C32" s="9"/>
      <c r="I32" s="47" t="s">
        <v>11</v>
      </c>
      <c r="J32" s="72" t="s">
        <v>7</v>
      </c>
      <c r="K32" s="47"/>
      <c r="L32" s="47"/>
      <c r="M32" s="44"/>
      <c r="N32" s="47" t="s">
        <v>11</v>
      </c>
      <c r="O32" s="72" t="s">
        <v>5</v>
      </c>
      <c r="P32" s="47"/>
      <c r="Q32" s="47"/>
      <c r="R32" s="45"/>
    </row>
    <row r="33" spans="2:38" ht="18" customHeight="1" outlineLevel="1" x14ac:dyDescent="0.2">
      <c r="B33" s="10"/>
      <c r="C33" s="9"/>
      <c r="D33" s="47"/>
      <c r="E33" s="47" t="s">
        <v>60</v>
      </c>
      <c r="F33" s="46" t="s">
        <v>61</v>
      </c>
      <c r="G33" s="47" t="s">
        <v>43</v>
      </c>
      <c r="H33" s="45"/>
      <c r="I33" s="46" t="s">
        <v>9</v>
      </c>
      <c r="J33" s="46" t="s">
        <v>66</v>
      </c>
      <c r="K33" s="46" t="s">
        <v>60</v>
      </c>
      <c r="L33" s="46" t="s">
        <v>62</v>
      </c>
      <c r="M33" s="44"/>
      <c r="N33" s="46" t="s">
        <v>9</v>
      </c>
      <c r="O33" s="46" t="s">
        <v>66</v>
      </c>
      <c r="P33" s="46" t="s">
        <v>60</v>
      </c>
      <c r="Q33" s="46" t="s">
        <v>62</v>
      </c>
      <c r="R33" s="45"/>
      <c r="S33" s="9"/>
      <c r="T33" s="9"/>
      <c r="U33" s="9"/>
      <c r="V33" s="9"/>
      <c r="X33" s="9"/>
      <c r="Y33" s="9"/>
      <c r="Z33" s="9"/>
      <c r="AA33" s="9"/>
    </row>
    <row r="34" spans="2:38" outlineLevel="1" x14ac:dyDescent="0.2">
      <c r="B34" s="10"/>
      <c r="C34" s="9"/>
      <c r="D34" s="47" t="s">
        <v>16</v>
      </c>
      <c r="E34" s="47">
        <f>SUM(K42,P42,U42,Z42)</f>
        <v>25</v>
      </c>
      <c r="F34" s="47">
        <f>SUM(L42,Q42,V42,AA42)</f>
        <v>45</v>
      </c>
      <c r="G34" s="47">
        <f>SUM(E34:F34)</f>
        <v>70</v>
      </c>
      <c r="H34" s="45"/>
      <c r="I34" s="46">
        <v>1</v>
      </c>
      <c r="J34" s="46">
        <f>SUM(K34,L34)</f>
        <v>0</v>
      </c>
      <c r="K34" s="46">
        <v>0</v>
      </c>
      <c r="L34" s="46">
        <v>0</v>
      </c>
      <c r="M34" s="44"/>
      <c r="N34" s="46">
        <v>1</v>
      </c>
      <c r="O34" s="46">
        <f>SUM(P34,Q34)</f>
        <v>4</v>
      </c>
      <c r="P34" s="46">
        <v>2</v>
      </c>
      <c r="Q34" s="46">
        <v>2</v>
      </c>
      <c r="R34" s="45"/>
      <c r="S34" s="9"/>
      <c r="T34" s="9"/>
      <c r="U34" s="9"/>
      <c r="V34" s="9"/>
      <c r="X34" s="9"/>
      <c r="Y34" s="9"/>
      <c r="Z34" s="9"/>
      <c r="AA34" s="9"/>
    </row>
    <row r="35" spans="2:38" outlineLevel="1" x14ac:dyDescent="0.2">
      <c r="B35" s="10"/>
      <c r="C35" s="9"/>
      <c r="D35" s="47" t="s">
        <v>17</v>
      </c>
      <c r="E35" s="47">
        <v>0</v>
      </c>
      <c r="F35" s="47">
        <v>52</v>
      </c>
      <c r="G35" s="47">
        <f>SUM(E35:F35)</f>
        <v>52</v>
      </c>
      <c r="H35" s="45"/>
      <c r="I35" s="47">
        <v>2</v>
      </c>
      <c r="J35" s="46">
        <f t="shared" ref="J35:J41" si="6">SUM(K35,L35)</f>
        <v>4</v>
      </c>
      <c r="K35" s="47">
        <v>2</v>
      </c>
      <c r="L35" s="47">
        <v>2</v>
      </c>
      <c r="M35" s="44"/>
      <c r="N35" s="47">
        <v>2</v>
      </c>
      <c r="O35" s="46">
        <f t="shared" ref="O35:O41" si="7">SUM(P35,Q35)</f>
        <v>7</v>
      </c>
      <c r="P35" s="47">
        <v>4</v>
      </c>
      <c r="Q35" s="47">
        <v>3</v>
      </c>
      <c r="R35" s="45"/>
      <c r="T35" s="9"/>
      <c r="Y35" s="9"/>
    </row>
    <row r="36" spans="2:38" outlineLevel="1" x14ac:dyDescent="0.2">
      <c r="B36" s="10"/>
      <c r="C36" s="9"/>
      <c r="D36" s="47" t="s">
        <v>40</v>
      </c>
      <c r="E36" s="48">
        <f>MIN(E34,E35)/MAX(E34,E35)</f>
        <v>0</v>
      </c>
      <c r="F36" s="48">
        <f>MIN(F34,F35)/MAX(F34,F35)</f>
        <v>0.86538461538461542</v>
      </c>
      <c r="G36" s="48">
        <f>MIN(G34,G35)/MAX(G34,G35)</f>
        <v>0.74285714285714288</v>
      </c>
      <c r="H36" s="45"/>
      <c r="I36" s="47">
        <v>3</v>
      </c>
      <c r="J36" s="46">
        <f t="shared" si="6"/>
        <v>4</v>
      </c>
      <c r="K36" s="47">
        <v>2</v>
      </c>
      <c r="L36" s="47">
        <v>2</v>
      </c>
      <c r="M36" s="44"/>
      <c r="N36" s="47">
        <v>3</v>
      </c>
      <c r="O36" s="46">
        <f t="shared" si="7"/>
        <v>7</v>
      </c>
      <c r="P36" s="47">
        <v>2</v>
      </c>
      <c r="Q36" s="47">
        <v>5</v>
      </c>
      <c r="R36" s="45"/>
      <c r="T36" s="9"/>
      <c r="Y36" s="9"/>
    </row>
    <row r="37" spans="2:38" outlineLevel="1" x14ac:dyDescent="0.2">
      <c r="B37" s="10"/>
      <c r="C37" s="9"/>
      <c r="D37" s="49"/>
      <c r="E37" s="49"/>
      <c r="F37" s="49"/>
      <c r="G37" s="49"/>
      <c r="I37" s="46">
        <v>4</v>
      </c>
      <c r="J37" s="46">
        <f t="shared" si="6"/>
        <v>4</v>
      </c>
      <c r="K37" s="47">
        <v>0</v>
      </c>
      <c r="L37" s="47">
        <v>4</v>
      </c>
      <c r="M37" s="44"/>
      <c r="N37" s="46">
        <v>4</v>
      </c>
      <c r="O37" s="46">
        <f t="shared" si="7"/>
        <v>7</v>
      </c>
      <c r="P37" s="47">
        <v>2</v>
      </c>
      <c r="Q37" s="47">
        <v>5</v>
      </c>
      <c r="R37" s="45"/>
      <c r="S37" s="9"/>
      <c r="T37" s="9"/>
      <c r="X37" s="9"/>
      <c r="Y37" s="9"/>
      <c r="AL37" s="6" t="s">
        <v>79</v>
      </c>
    </row>
    <row r="38" spans="2:38" ht="17" customHeight="1" outlineLevel="1" x14ac:dyDescent="0.2">
      <c r="B38" s="10"/>
      <c r="C38" s="9"/>
      <c r="D38" s="47" t="s">
        <v>0</v>
      </c>
      <c r="E38" s="46" t="s">
        <v>63</v>
      </c>
      <c r="F38" s="46" t="s">
        <v>64</v>
      </c>
      <c r="G38" s="47" t="s">
        <v>37</v>
      </c>
      <c r="H38" s="45"/>
      <c r="I38" s="46">
        <v>5</v>
      </c>
      <c r="J38" s="46">
        <f t="shared" si="6"/>
        <v>4</v>
      </c>
      <c r="K38" s="47">
        <v>2</v>
      </c>
      <c r="L38" s="47">
        <v>2</v>
      </c>
      <c r="M38" s="44"/>
      <c r="N38" s="46">
        <v>5</v>
      </c>
      <c r="O38" s="46">
        <f t="shared" si="7"/>
        <v>7</v>
      </c>
      <c r="P38" s="47">
        <v>2</v>
      </c>
      <c r="Q38" s="47">
        <v>5</v>
      </c>
      <c r="R38" s="45"/>
      <c r="S38" s="9"/>
      <c r="T38" s="9"/>
      <c r="X38" s="9"/>
      <c r="Y38" s="9"/>
    </row>
    <row r="39" spans="2:38" outlineLevel="1" x14ac:dyDescent="0.2">
      <c r="B39" s="10"/>
      <c r="C39" s="9"/>
      <c r="D39" s="47" t="s">
        <v>16</v>
      </c>
      <c r="E39" s="47">
        <f>SUM(K42)</f>
        <v>9</v>
      </c>
      <c r="F39" s="47">
        <f>SUM(L42)</f>
        <v>15</v>
      </c>
      <c r="G39" s="47">
        <f>SUM(E39:F39)</f>
        <v>24</v>
      </c>
      <c r="H39" s="45"/>
      <c r="I39" s="46">
        <v>6</v>
      </c>
      <c r="J39" s="46">
        <f t="shared" si="6"/>
        <v>4</v>
      </c>
      <c r="K39" s="47">
        <v>3</v>
      </c>
      <c r="L39" s="47">
        <v>1</v>
      </c>
      <c r="M39" s="44"/>
      <c r="N39" s="46">
        <v>6</v>
      </c>
      <c r="O39" s="46">
        <f t="shared" si="7"/>
        <v>7</v>
      </c>
      <c r="P39" s="47">
        <v>4</v>
      </c>
      <c r="Q39" s="47">
        <v>3</v>
      </c>
      <c r="R39" s="45"/>
      <c r="S39" s="9"/>
      <c r="T39" s="9"/>
      <c r="X39" s="9"/>
      <c r="Y39" s="9"/>
    </row>
    <row r="40" spans="2:38" outlineLevel="1" x14ac:dyDescent="0.2">
      <c r="B40" s="10"/>
      <c r="C40" s="9"/>
      <c r="D40" s="47" t="s">
        <v>17</v>
      </c>
      <c r="E40" s="47">
        <v>0</v>
      </c>
      <c r="F40" s="47">
        <v>24</v>
      </c>
      <c r="G40" s="47">
        <f>SUM(E40:F40)</f>
        <v>24</v>
      </c>
      <c r="H40" s="45"/>
      <c r="I40" s="46">
        <v>7</v>
      </c>
      <c r="J40" s="46">
        <f t="shared" si="6"/>
        <v>0</v>
      </c>
      <c r="K40" s="47"/>
      <c r="L40" s="47">
        <v>0</v>
      </c>
      <c r="M40" s="44"/>
      <c r="N40" s="46">
        <v>7</v>
      </c>
      <c r="O40" s="46">
        <f t="shared" si="7"/>
        <v>0</v>
      </c>
      <c r="P40" s="47"/>
      <c r="Q40" s="47">
        <v>0</v>
      </c>
      <c r="R40" s="45"/>
      <c r="S40" s="9"/>
      <c r="T40" s="9"/>
      <c r="X40" s="9"/>
      <c r="Y40" s="9"/>
    </row>
    <row r="41" spans="2:38" outlineLevel="1" x14ac:dyDescent="0.2">
      <c r="B41" s="88" t="s">
        <v>65</v>
      </c>
      <c r="C41" s="44"/>
      <c r="D41" s="47" t="s">
        <v>40</v>
      </c>
      <c r="E41" s="48">
        <f>MIN(E39,E40)/MAX(E39,E40)</f>
        <v>0</v>
      </c>
      <c r="F41" s="48">
        <f>MIN(F39,F40)/MAX(F39,F40)</f>
        <v>0.625</v>
      </c>
      <c r="G41" s="48">
        <f>MIN(G39,G40)/MAX(G39,G40)</f>
        <v>1</v>
      </c>
      <c r="H41" s="45"/>
      <c r="I41" s="47" t="s">
        <v>10</v>
      </c>
      <c r="J41" s="46">
        <f t="shared" si="6"/>
        <v>4</v>
      </c>
      <c r="K41" s="47"/>
      <c r="L41" s="47">
        <v>4</v>
      </c>
      <c r="M41" s="44"/>
      <c r="N41" s="47" t="s">
        <v>10</v>
      </c>
      <c r="O41" s="46">
        <f t="shared" si="7"/>
        <v>7</v>
      </c>
      <c r="P41" s="47"/>
      <c r="Q41" s="47">
        <v>7</v>
      </c>
      <c r="R41" s="45"/>
      <c r="T41" s="9"/>
      <c r="Y41" s="9"/>
    </row>
    <row r="42" spans="2:38" outlineLevel="1" x14ac:dyDescent="0.2">
      <c r="B42" s="88"/>
      <c r="C42" s="44"/>
      <c r="D42" s="49"/>
      <c r="E42" s="49"/>
      <c r="F42" s="49"/>
      <c r="G42" s="49"/>
      <c r="I42" s="47" t="s">
        <v>13</v>
      </c>
      <c r="J42" s="47">
        <f>(SUM(J34:J41))</f>
        <v>24</v>
      </c>
      <c r="K42" s="47">
        <f>(SUM(K34:K41))</f>
        <v>9</v>
      </c>
      <c r="L42" s="47">
        <f>(SUM(L34:L41))</f>
        <v>15</v>
      </c>
      <c r="M42" s="44"/>
      <c r="N42" s="47" t="s">
        <v>13</v>
      </c>
      <c r="O42" s="47">
        <f>(SUM(O34:O41))</f>
        <v>46</v>
      </c>
      <c r="P42" s="47">
        <f>(SUM(P34:P41))</f>
        <v>16</v>
      </c>
      <c r="Q42" s="47">
        <f>(SUM(Q34:Q41))</f>
        <v>30</v>
      </c>
      <c r="R42" s="45"/>
    </row>
    <row r="43" spans="2:38" outlineLevel="1" x14ac:dyDescent="0.2">
      <c r="B43" s="52"/>
      <c r="C43" s="9"/>
      <c r="I43" s="49"/>
      <c r="J43" s="49"/>
      <c r="K43" s="49"/>
      <c r="L43" s="49"/>
      <c r="M43" s="9"/>
      <c r="N43" s="49"/>
      <c r="O43" s="49"/>
      <c r="P43" s="49"/>
      <c r="Q43" s="49"/>
    </row>
    <row r="44" spans="2:38" outlineLevel="1" x14ac:dyDescent="0.2">
      <c r="B44" s="10"/>
      <c r="C44" s="9"/>
      <c r="D44" s="9"/>
      <c r="E44" s="9"/>
      <c r="F44" s="9"/>
      <c r="G44" s="9"/>
      <c r="H44" s="9"/>
      <c r="I44" s="9"/>
      <c r="J44" s="9"/>
      <c r="K44" s="9"/>
      <c r="L44" s="9"/>
      <c r="M44" s="9"/>
    </row>
    <row r="45" spans="2:38" ht="20" customHeight="1" outlineLevel="1" x14ac:dyDescent="0.2">
      <c r="B45" s="10">
        <v>5</v>
      </c>
      <c r="C45" s="9"/>
      <c r="I45" s="46" t="s">
        <v>77</v>
      </c>
      <c r="J45" s="46">
        <v>1</v>
      </c>
      <c r="K45" s="46" t="s">
        <v>12</v>
      </c>
      <c r="L45" s="46" t="s">
        <v>15</v>
      </c>
      <c r="M45" s="44"/>
      <c r="N45" s="46" t="s">
        <v>77</v>
      </c>
      <c r="O45" s="46">
        <v>2</v>
      </c>
      <c r="P45" s="46" t="s">
        <v>12</v>
      </c>
      <c r="Q45" s="46" t="s">
        <v>15</v>
      </c>
      <c r="R45" s="45"/>
      <c r="S45" s="46" t="s">
        <v>77</v>
      </c>
      <c r="T45" s="46">
        <v>3</v>
      </c>
      <c r="U45" s="46" t="s">
        <v>12</v>
      </c>
      <c r="V45" s="46" t="s">
        <v>15</v>
      </c>
      <c r="W45" s="45"/>
    </row>
    <row r="46" spans="2:38" x14ac:dyDescent="0.2">
      <c r="B46" s="10"/>
      <c r="C46" s="9"/>
      <c r="I46" s="47" t="s">
        <v>11</v>
      </c>
      <c r="J46" s="72" t="s">
        <v>6</v>
      </c>
      <c r="K46" s="47"/>
      <c r="L46" s="47"/>
      <c r="M46" s="44"/>
      <c r="N46" s="47" t="s">
        <v>11</v>
      </c>
      <c r="O46" s="72" t="s">
        <v>7</v>
      </c>
      <c r="P46" s="47"/>
      <c r="Q46" s="47"/>
      <c r="R46" s="45"/>
      <c r="S46" s="47" t="s">
        <v>11</v>
      </c>
      <c r="T46" s="72" t="s">
        <v>8</v>
      </c>
      <c r="U46" s="47"/>
      <c r="V46" s="47"/>
      <c r="W46" s="45"/>
    </row>
    <row r="47" spans="2:38" ht="18" customHeight="1" outlineLevel="1" x14ac:dyDescent="0.2">
      <c r="B47" s="10"/>
      <c r="C47" s="9"/>
      <c r="D47" s="47"/>
      <c r="E47" s="47" t="s">
        <v>60</v>
      </c>
      <c r="F47" s="46" t="s">
        <v>61</v>
      </c>
      <c r="G47" s="47" t="s">
        <v>43</v>
      </c>
      <c r="H47" s="45"/>
      <c r="I47" s="46" t="s">
        <v>9</v>
      </c>
      <c r="J47" s="46" t="s">
        <v>66</v>
      </c>
      <c r="K47" s="46" t="s">
        <v>60</v>
      </c>
      <c r="L47" s="46" t="s">
        <v>62</v>
      </c>
      <c r="M47" s="44"/>
      <c r="N47" s="46" t="s">
        <v>9</v>
      </c>
      <c r="O47" s="46" t="s">
        <v>66</v>
      </c>
      <c r="P47" s="46" t="s">
        <v>60</v>
      </c>
      <c r="Q47" s="46" t="s">
        <v>62</v>
      </c>
      <c r="R47" s="45"/>
      <c r="S47" s="46" t="s">
        <v>9</v>
      </c>
      <c r="T47" s="46" t="s">
        <v>66</v>
      </c>
      <c r="U47" s="46" t="s">
        <v>60</v>
      </c>
      <c r="V47" s="46" t="s">
        <v>62</v>
      </c>
      <c r="W47" s="45"/>
    </row>
    <row r="48" spans="2:38" outlineLevel="1" x14ac:dyDescent="0.2">
      <c r="B48" s="10"/>
      <c r="C48" s="9"/>
      <c r="D48" s="47" t="s">
        <v>16</v>
      </c>
      <c r="E48" s="47">
        <f>SUM(K56,P56,U56,K69,P69)</f>
        <v>0</v>
      </c>
      <c r="F48" s="47">
        <f>SUM(L56,Q56,V56,L69,Q69)</f>
        <v>141</v>
      </c>
      <c r="G48" s="47">
        <f>SUM(E48:F48)</f>
        <v>141</v>
      </c>
      <c r="H48" s="45"/>
      <c r="I48" s="46">
        <v>1</v>
      </c>
      <c r="J48" s="46">
        <f>SUM(K48,L48)</f>
        <v>3</v>
      </c>
      <c r="K48" s="46"/>
      <c r="L48" s="46">
        <v>3</v>
      </c>
      <c r="M48" s="44"/>
      <c r="N48" s="46">
        <v>1</v>
      </c>
      <c r="O48" s="46">
        <f>SUM(P48,Q48)</f>
        <v>2</v>
      </c>
      <c r="P48" s="46"/>
      <c r="Q48" s="46">
        <v>2</v>
      </c>
      <c r="R48" s="45"/>
      <c r="S48" s="46">
        <v>1</v>
      </c>
      <c r="T48" s="46">
        <f t="shared" ref="T48:T55" si="8">SUM(U48,V48)</f>
        <v>9</v>
      </c>
      <c r="U48" s="46"/>
      <c r="V48" s="46">
        <v>9</v>
      </c>
      <c r="W48" s="45"/>
    </row>
    <row r="49" spans="2:23" outlineLevel="1" x14ac:dyDescent="0.2">
      <c r="B49" s="10"/>
      <c r="C49" s="9"/>
      <c r="D49" s="47" t="s">
        <v>17</v>
      </c>
      <c r="E49" s="47">
        <v>0</v>
      </c>
      <c r="F49" s="47">
        <v>134</v>
      </c>
      <c r="G49" s="47">
        <f>SUM(E49:F49)</f>
        <v>134</v>
      </c>
      <c r="H49" s="45"/>
      <c r="I49" s="47">
        <v>2</v>
      </c>
      <c r="J49" s="46">
        <f t="shared" ref="J49:J55" si="9">SUM(K49,L49)</f>
        <v>11</v>
      </c>
      <c r="K49" s="47"/>
      <c r="L49" s="47">
        <v>11</v>
      </c>
      <c r="M49" s="44"/>
      <c r="N49" s="47">
        <v>2</v>
      </c>
      <c r="O49" s="46">
        <f t="shared" ref="O49:O55" si="10">SUM(P49,Q49)</f>
        <v>4</v>
      </c>
      <c r="P49" s="47"/>
      <c r="Q49" s="47">
        <v>4</v>
      </c>
      <c r="R49" s="45"/>
      <c r="S49" s="47">
        <v>2</v>
      </c>
      <c r="T49" s="46">
        <f t="shared" si="8"/>
        <v>10</v>
      </c>
      <c r="U49" s="47"/>
      <c r="V49" s="47">
        <v>10</v>
      </c>
      <c r="W49" s="45"/>
    </row>
    <row r="50" spans="2:23" outlineLevel="1" x14ac:dyDescent="0.2">
      <c r="B50" s="10"/>
      <c r="C50" s="9"/>
      <c r="D50" s="47" t="s">
        <v>40</v>
      </c>
      <c r="E50" s="47"/>
      <c r="F50" s="48">
        <f>MIN(F48,F49)/MAX(F48,F49)</f>
        <v>0.95035460992907805</v>
      </c>
      <c r="G50" s="48">
        <f>MIN(G48,G49)/MAX(G48,G49)</f>
        <v>0.95035460992907805</v>
      </c>
      <c r="H50" s="45"/>
      <c r="I50" s="47">
        <v>3</v>
      </c>
      <c r="J50" s="46">
        <f t="shared" si="9"/>
        <v>11</v>
      </c>
      <c r="K50" s="47"/>
      <c r="L50" s="47">
        <v>11</v>
      </c>
      <c r="M50" s="44"/>
      <c r="N50" s="47">
        <v>3</v>
      </c>
      <c r="O50" s="46">
        <f t="shared" si="10"/>
        <v>4</v>
      </c>
      <c r="P50" s="47"/>
      <c r="Q50" s="47">
        <v>4</v>
      </c>
      <c r="R50" s="45"/>
      <c r="S50" s="47">
        <v>3</v>
      </c>
      <c r="T50" s="46">
        <f t="shared" si="8"/>
        <v>10</v>
      </c>
      <c r="U50" s="47"/>
      <c r="V50" s="47">
        <v>10</v>
      </c>
      <c r="W50" s="45"/>
    </row>
    <row r="51" spans="2:23" outlineLevel="1" x14ac:dyDescent="0.2">
      <c r="B51" s="10"/>
      <c r="C51" s="9"/>
      <c r="D51" s="49"/>
      <c r="E51" s="49"/>
      <c r="F51" s="49"/>
      <c r="G51" s="49"/>
      <c r="I51" s="46">
        <v>4</v>
      </c>
      <c r="J51" s="46">
        <f t="shared" si="9"/>
        <v>11</v>
      </c>
      <c r="K51" s="47"/>
      <c r="L51" s="47">
        <v>11</v>
      </c>
      <c r="M51" s="44"/>
      <c r="N51" s="46">
        <v>4</v>
      </c>
      <c r="O51" s="46">
        <f t="shared" si="10"/>
        <v>4</v>
      </c>
      <c r="P51" s="47"/>
      <c r="Q51" s="47">
        <v>4</v>
      </c>
      <c r="R51" s="45"/>
      <c r="S51" s="46">
        <v>4</v>
      </c>
      <c r="T51" s="46">
        <f t="shared" si="8"/>
        <v>10</v>
      </c>
      <c r="U51" s="47"/>
      <c r="V51" s="47">
        <v>10</v>
      </c>
      <c r="W51" s="45"/>
    </row>
    <row r="52" spans="2:23" ht="17" customHeight="1" outlineLevel="1" x14ac:dyDescent="0.2">
      <c r="B52" s="10"/>
      <c r="C52" s="9"/>
      <c r="D52" s="47" t="s">
        <v>0</v>
      </c>
      <c r="E52" s="46" t="s">
        <v>63</v>
      </c>
      <c r="F52" s="46" t="s">
        <v>64</v>
      </c>
      <c r="G52" s="47" t="s">
        <v>37</v>
      </c>
      <c r="H52" s="45"/>
      <c r="I52" s="46">
        <v>5</v>
      </c>
      <c r="J52" s="46">
        <f t="shared" si="9"/>
        <v>0</v>
      </c>
      <c r="K52" s="47"/>
      <c r="L52" s="47">
        <v>0</v>
      </c>
      <c r="M52" s="44"/>
      <c r="N52" s="46">
        <v>5</v>
      </c>
      <c r="O52" s="46">
        <f t="shared" si="10"/>
        <v>0</v>
      </c>
      <c r="P52" s="47"/>
      <c r="Q52" s="47">
        <v>0</v>
      </c>
      <c r="R52" s="45"/>
      <c r="S52" s="46">
        <v>5</v>
      </c>
      <c r="T52" s="46">
        <f t="shared" si="8"/>
        <v>0</v>
      </c>
      <c r="U52" s="47"/>
      <c r="V52" s="47">
        <v>0</v>
      </c>
      <c r="W52" s="45"/>
    </row>
    <row r="53" spans="2:23" outlineLevel="1" x14ac:dyDescent="0.2">
      <c r="B53" s="10"/>
      <c r="C53" s="9"/>
      <c r="D53" s="47" t="s">
        <v>16</v>
      </c>
      <c r="E53" s="47">
        <f>SUM(P56,K56,U56)</f>
        <v>0</v>
      </c>
      <c r="F53" s="47">
        <f>SUM(Q56,L56,V56)</f>
        <v>105</v>
      </c>
      <c r="G53" s="47">
        <f>SUM(E53:F53)</f>
        <v>105</v>
      </c>
      <c r="H53" s="45"/>
      <c r="I53" s="46">
        <v>6</v>
      </c>
      <c r="J53" s="46">
        <f t="shared" si="9"/>
        <v>0</v>
      </c>
      <c r="K53" s="47"/>
      <c r="L53" s="47">
        <v>0</v>
      </c>
      <c r="M53" s="44"/>
      <c r="N53" s="46">
        <v>6</v>
      </c>
      <c r="O53" s="46">
        <f t="shared" si="10"/>
        <v>0</v>
      </c>
      <c r="P53" s="47"/>
      <c r="Q53" s="47">
        <v>0</v>
      </c>
      <c r="R53" s="45"/>
      <c r="S53" s="46">
        <v>6</v>
      </c>
      <c r="T53" s="46">
        <f t="shared" si="8"/>
        <v>0</v>
      </c>
      <c r="U53" s="47"/>
      <c r="V53" s="47">
        <v>0</v>
      </c>
      <c r="W53" s="45"/>
    </row>
    <row r="54" spans="2:23" outlineLevel="1" x14ac:dyDescent="0.2">
      <c r="B54" s="10"/>
      <c r="C54" s="9"/>
      <c r="D54" s="47" t="s">
        <v>17</v>
      </c>
      <c r="E54" s="47">
        <v>0</v>
      </c>
      <c r="F54" s="47">
        <v>97</v>
      </c>
      <c r="G54" s="47">
        <f>SUM(E54:F54)</f>
        <v>97</v>
      </c>
      <c r="H54" s="45"/>
      <c r="I54" s="46">
        <v>7</v>
      </c>
      <c r="J54" s="46">
        <f t="shared" si="9"/>
        <v>0</v>
      </c>
      <c r="K54" s="47"/>
      <c r="L54" s="47">
        <v>0</v>
      </c>
      <c r="M54" s="44"/>
      <c r="N54" s="46">
        <v>7</v>
      </c>
      <c r="O54" s="46">
        <f t="shared" si="10"/>
        <v>0</v>
      </c>
      <c r="P54" s="47"/>
      <c r="Q54" s="47">
        <v>0</v>
      </c>
      <c r="R54" s="45"/>
      <c r="S54" s="46">
        <v>7</v>
      </c>
      <c r="T54" s="46">
        <f t="shared" si="8"/>
        <v>0</v>
      </c>
      <c r="U54" s="47"/>
      <c r="V54" s="47">
        <v>0</v>
      </c>
      <c r="W54" s="45"/>
    </row>
    <row r="55" spans="2:23" outlineLevel="1" x14ac:dyDescent="0.2">
      <c r="B55" s="10"/>
      <c r="C55" s="9"/>
      <c r="D55" s="47" t="s">
        <v>40</v>
      </c>
      <c r="E55" s="48"/>
      <c r="F55" s="48">
        <f>MIN(F53,F54)/MAX(F53,F54)</f>
        <v>0.92380952380952386</v>
      </c>
      <c r="G55" s="48">
        <f>MIN(G53,G54)/MAX(G53,G54)</f>
        <v>0.92380952380952386</v>
      </c>
      <c r="H55" s="45"/>
      <c r="I55" s="47" t="s">
        <v>10</v>
      </c>
      <c r="J55" s="46">
        <f t="shared" si="9"/>
        <v>8</v>
      </c>
      <c r="K55" s="47"/>
      <c r="L55" s="47">
        <v>8</v>
      </c>
      <c r="M55" s="44"/>
      <c r="N55" s="47" t="s">
        <v>10</v>
      </c>
      <c r="O55" s="46">
        <f t="shared" si="10"/>
        <v>0</v>
      </c>
      <c r="P55" s="47"/>
      <c r="Q55" s="47">
        <v>0</v>
      </c>
      <c r="R55" s="45"/>
      <c r="S55" s="47" t="s">
        <v>10</v>
      </c>
      <c r="T55" s="46">
        <f t="shared" si="8"/>
        <v>8</v>
      </c>
      <c r="U55" s="47"/>
      <c r="V55" s="47">
        <v>8</v>
      </c>
      <c r="W55" s="45"/>
    </row>
    <row r="56" spans="2:23" outlineLevel="1" x14ac:dyDescent="0.2">
      <c r="B56" s="10"/>
      <c r="C56" s="9"/>
      <c r="D56" s="49"/>
      <c r="E56" s="49"/>
      <c r="F56" s="49"/>
      <c r="G56" s="49"/>
      <c r="I56" s="47" t="s">
        <v>13</v>
      </c>
      <c r="J56" s="47">
        <f>(SUM(J48:J55))</f>
        <v>44</v>
      </c>
      <c r="K56" s="47">
        <f>(SUM(K48:K55))</f>
        <v>0</v>
      </c>
      <c r="L56" s="47">
        <f>(SUM(L48:L55))</f>
        <v>44</v>
      </c>
      <c r="M56" s="44"/>
      <c r="N56" s="47" t="s">
        <v>13</v>
      </c>
      <c r="O56" s="47">
        <f>(SUM(O48:O55))</f>
        <v>14</v>
      </c>
      <c r="P56" s="47">
        <f>(SUM(P48:P55))</f>
        <v>0</v>
      </c>
      <c r="Q56" s="47">
        <f>(SUM(Q48:Q55))</f>
        <v>14</v>
      </c>
      <c r="R56" s="45"/>
      <c r="S56" s="47" t="s">
        <v>13</v>
      </c>
      <c r="T56" s="47">
        <f>(SUM(T48:T55))</f>
        <v>47</v>
      </c>
      <c r="U56" s="47">
        <f>(SUM(U48:U55))</f>
        <v>0</v>
      </c>
      <c r="V56" s="47">
        <f>(SUM(V48:V55))</f>
        <v>47</v>
      </c>
      <c r="W56" s="45"/>
    </row>
    <row r="57" spans="2:23" outlineLevel="1" x14ac:dyDescent="0.2">
      <c r="B57" s="10"/>
      <c r="C57" s="9"/>
      <c r="I57" s="49"/>
      <c r="J57" s="49"/>
      <c r="K57" s="49"/>
      <c r="L57" s="49"/>
      <c r="M57" s="9"/>
      <c r="N57" s="49"/>
      <c r="O57" s="49"/>
      <c r="P57" s="49"/>
      <c r="Q57" s="49"/>
      <c r="S57" s="49"/>
      <c r="T57" s="49"/>
      <c r="U57" s="49"/>
      <c r="V57" s="49"/>
    </row>
    <row r="58" spans="2:23" ht="18" customHeight="1" outlineLevel="1" x14ac:dyDescent="0.2">
      <c r="B58" s="10"/>
      <c r="C58" s="9"/>
      <c r="I58" s="46" t="s">
        <v>77</v>
      </c>
      <c r="J58" s="46">
        <v>4</v>
      </c>
      <c r="K58" s="46" t="s">
        <v>12</v>
      </c>
      <c r="L58" s="46" t="s">
        <v>14</v>
      </c>
      <c r="M58" s="45"/>
      <c r="N58" s="46" t="s">
        <v>77</v>
      </c>
      <c r="O58" s="46">
        <v>4</v>
      </c>
      <c r="P58" s="46" t="s">
        <v>12</v>
      </c>
      <c r="Q58" s="46" t="s">
        <v>14</v>
      </c>
      <c r="R58" s="45"/>
    </row>
    <row r="59" spans="2:23" outlineLevel="1" x14ac:dyDescent="0.2">
      <c r="B59" s="10"/>
      <c r="C59" s="9"/>
      <c r="I59" s="47" t="s">
        <v>11</v>
      </c>
      <c r="J59" s="72" t="s">
        <v>6</v>
      </c>
      <c r="K59" s="47"/>
      <c r="L59" s="47"/>
      <c r="M59" s="45"/>
      <c r="N59" s="47" t="s">
        <v>11</v>
      </c>
      <c r="O59" s="72" t="s">
        <v>8</v>
      </c>
      <c r="P59" s="47"/>
      <c r="Q59" s="47"/>
      <c r="R59" s="45"/>
    </row>
    <row r="60" spans="2:23" ht="17" customHeight="1" x14ac:dyDescent="0.2">
      <c r="B60" s="10"/>
      <c r="C60" s="9"/>
      <c r="I60" s="46" t="s">
        <v>9</v>
      </c>
      <c r="J60" s="46" t="s">
        <v>66</v>
      </c>
      <c r="K60" s="46" t="s">
        <v>60</v>
      </c>
      <c r="L60" s="46" t="s">
        <v>62</v>
      </c>
      <c r="M60" s="45"/>
      <c r="N60" s="46" t="s">
        <v>9</v>
      </c>
      <c r="O60" s="46" t="s">
        <v>66</v>
      </c>
      <c r="P60" s="46" t="s">
        <v>60</v>
      </c>
      <c r="Q60" s="46" t="s">
        <v>62</v>
      </c>
      <c r="R60" s="45"/>
    </row>
    <row r="61" spans="2:23" outlineLevel="1" x14ac:dyDescent="0.2">
      <c r="B61" s="10"/>
      <c r="C61" s="9"/>
      <c r="I61" s="46">
        <v>1</v>
      </c>
      <c r="J61" s="46">
        <f>SUM(K61,L61)</f>
        <v>3</v>
      </c>
      <c r="K61" s="46"/>
      <c r="L61" s="46">
        <v>3</v>
      </c>
      <c r="M61" s="45"/>
      <c r="N61" s="46">
        <v>1</v>
      </c>
      <c r="O61" s="46">
        <f>SUM(P61,Q61)</f>
        <v>5</v>
      </c>
      <c r="P61" s="46"/>
      <c r="Q61" s="46">
        <v>5</v>
      </c>
      <c r="R61" s="45"/>
    </row>
    <row r="62" spans="2:23" outlineLevel="1" x14ac:dyDescent="0.2">
      <c r="B62" s="10"/>
      <c r="C62" s="9"/>
      <c r="I62" s="47">
        <v>2</v>
      </c>
      <c r="J62" s="46">
        <f t="shared" ref="J62:J68" si="11">SUM(K62,L62)</f>
        <v>4</v>
      </c>
      <c r="K62" s="47"/>
      <c r="L62" s="47">
        <v>4</v>
      </c>
      <c r="M62" s="45"/>
      <c r="N62" s="47">
        <v>2</v>
      </c>
      <c r="O62" s="46">
        <f t="shared" ref="O62:O68" si="12">SUM(P62,Q62)</f>
        <v>5</v>
      </c>
      <c r="P62" s="47"/>
      <c r="Q62" s="47">
        <v>5</v>
      </c>
      <c r="R62" s="45"/>
    </row>
    <row r="63" spans="2:23" outlineLevel="1" x14ac:dyDescent="0.2">
      <c r="B63" s="10"/>
      <c r="C63" s="9"/>
      <c r="I63" s="47">
        <v>3</v>
      </c>
      <c r="J63" s="46">
        <f t="shared" si="11"/>
        <v>4</v>
      </c>
      <c r="K63" s="47"/>
      <c r="L63" s="47">
        <v>4</v>
      </c>
      <c r="M63" s="45"/>
      <c r="N63" s="47">
        <v>3</v>
      </c>
      <c r="O63" s="46">
        <f t="shared" si="12"/>
        <v>5</v>
      </c>
      <c r="P63" s="47"/>
      <c r="Q63" s="47">
        <v>5</v>
      </c>
      <c r="R63" s="45"/>
    </row>
    <row r="64" spans="2:23" outlineLevel="1" x14ac:dyDescent="0.2">
      <c r="B64" s="10"/>
      <c r="C64" s="9"/>
      <c r="I64" s="46">
        <v>4</v>
      </c>
      <c r="J64" s="46">
        <f t="shared" si="11"/>
        <v>2</v>
      </c>
      <c r="K64" s="47"/>
      <c r="L64" s="47">
        <v>2</v>
      </c>
      <c r="M64" s="45"/>
      <c r="N64" s="46">
        <v>4</v>
      </c>
      <c r="O64" s="46">
        <f t="shared" si="12"/>
        <v>4</v>
      </c>
      <c r="P64" s="47"/>
      <c r="Q64" s="47">
        <v>4</v>
      </c>
      <c r="R64" s="45"/>
    </row>
    <row r="65" spans="1:27" outlineLevel="1" x14ac:dyDescent="0.2">
      <c r="B65" s="10"/>
      <c r="C65" s="9"/>
      <c r="I65" s="46">
        <v>5</v>
      </c>
      <c r="J65" s="46">
        <f t="shared" si="11"/>
        <v>0</v>
      </c>
      <c r="K65" s="47"/>
      <c r="L65" s="47">
        <v>0</v>
      </c>
      <c r="M65" s="45"/>
      <c r="N65" s="46">
        <v>5</v>
      </c>
      <c r="O65" s="46">
        <f t="shared" si="12"/>
        <v>0</v>
      </c>
      <c r="P65" s="47"/>
      <c r="Q65" s="47">
        <v>0</v>
      </c>
      <c r="R65" s="45"/>
    </row>
    <row r="66" spans="1:27" outlineLevel="1" x14ac:dyDescent="0.2">
      <c r="B66" s="10"/>
      <c r="C66" s="9"/>
      <c r="I66" s="46">
        <v>6</v>
      </c>
      <c r="J66" s="46">
        <f t="shared" si="11"/>
        <v>0</v>
      </c>
      <c r="K66" s="47"/>
      <c r="L66" s="47">
        <v>0</v>
      </c>
      <c r="M66" s="45"/>
      <c r="N66" s="46">
        <v>6</v>
      </c>
      <c r="O66" s="46">
        <f t="shared" si="12"/>
        <v>0</v>
      </c>
      <c r="P66" s="47"/>
      <c r="Q66" s="47">
        <v>0</v>
      </c>
      <c r="R66" s="45"/>
    </row>
    <row r="67" spans="1:27" outlineLevel="1" x14ac:dyDescent="0.2">
      <c r="B67" s="10"/>
      <c r="C67" s="9"/>
      <c r="I67" s="46">
        <v>7</v>
      </c>
      <c r="J67" s="46">
        <f t="shared" si="11"/>
        <v>0</v>
      </c>
      <c r="K67" s="47"/>
      <c r="L67" s="47">
        <v>0</v>
      </c>
      <c r="M67" s="45"/>
      <c r="N67" s="46">
        <v>7</v>
      </c>
      <c r="O67" s="46">
        <f t="shared" si="12"/>
        <v>0</v>
      </c>
      <c r="P67" s="47"/>
      <c r="Q67" s="47">
        <v>0</v>
      </c>
      <c r="R67" s="45"/>
    </row>
    <row r="68" spans="1:27" outlineLevel="1" x14ac:dyDescent="0.2">
      <c r="B68" s="10"/>
      <c r="C68" s="9"/>
      <c r="I68" s="47" t="s">
        <v>10</v>
      </c>
      <c r="J68" s="46">
        <f t="shared" si="11"/>
        <v>2</v>
      </c>
      <c r="K68" s="47"/>
      <c r="L68" s="47">
        <v>2</v>
      </c>
      <c r="M68" s="45"/>
      <c r="N68" s="47" t="s">
        <v>10</v>
      </c>
      <c r="O68" s="46">
        <f t="shared" si="12"/>
        <v>2</v>
      </c>
      <c r="P68" s="47"/>
      <c r="Q68" s="47">
        <v>2</v>
      </c>
      <c r="R68" s="45"/>
    </row>
    <row r="69" spans="1:27" outlineLevel="1" x14ac:dyDescent="0.2">
      <c r="B69" s="10"/>
      <c r="C69" s="9"/>
      <c r="I69" s="47" t="s">
        <v>13</v>
      </c>
      <c r="J69" s="47">
        <f>(SUM(J61:J68))</f>
        <v>15</v>
      </c>
      <c r="K69" s="47">
        <f>(SUM(K61:K68))</f>
        <v>0</v>
      </c>
      <c r="L69" s="47">
        <f>(SUM(L61:L68))</f>
        <v>15</v>
      </c>
      <c r="M69" s="45"/>
      <c r="N69" s="47" t="s">
        <v>13</v>
      </c>
      <c r="O69" s="47">
        <f>(SUM(O61:O68))</f>
        <v>21</v>
      </c>
      <c r="P69" s="47">
        <f>(SUM(P61:P68))</f>
        <v>0</v>
      </c>
      <c r="Q69" s="47">
        <f>(SUM(Q61:Q68))</f>
        <v>21</v>
      </c>
      <c r="R69" s="45"/>
    </row>
    <row r="70" spans="1:27" outlineLevel="1" x14ac:dyDescent="0.2">
      <c r="B70" s="10"/>
      <c r="C70" s="9"/>
      <c r="I70" s="49"/>
      <c r="J70" s="49"/>
      <c r="K70" s="49"/>
      <c r="L70" s="49"/>
      <c r="M70" s="9"/>
      <c r="N70" s="49"/>
      <c r="O70" s="49"/>
      <c r="P70" s="49"/>
      <c r="Q70" s="49"/>
    </row>
    <row r="71" spans="1:27" outlineLevel="1" x14ac:dyDescent="0.2">
      <c r="B71" s="10"/>
      <c r="C71" s="9"/>
      <c r="D71" s="9"/>
      <c r="E71" s="9"/>
      <c r="F71" s="9"/>
      <c r="G71" s="9"/>
      <c r="H71" s="9"/>
      <c r="I71" s="9"/>
      <c r="J71" s="9"/>
      <c r="K71" s="9"/>
      <c r="L71" s="9"/>
      <c r="M71" s="9"/>
    </row>
    <row r="72" spans="1:27" ht="18" customHeight="1" outlineLevel="1" x14ac:dyDescent="0.2">
      <c r="A72" s="9" t="s">
        <v>24</v>
      </c>
      <c r="B72" s="10">
        <v>44</v>
      </c>
      <c r="C72" s="9"/>
      <c r="I72" s="46" t="s">
        <v>77</v>
      </c>
      <c r="J72" s="46">
        <v>1</v>
      </c>
      <c r="K72" s="46" t="s">
        <v>12</v>
      </c>
      <c r="L72" s="46" t="s">
        <v>15</v>
      </c>
      <c r="M72" s="44"/>
      <c r="N72" s="46" t="s">
        <v>77</v>
      </c>
      <c r="O72" s="46">
        <v>2</v>
      </c>
      <c r="P72" s="46" t="s">
        <v>12</v>
      </c>
      <c r="Q72" s="46" t="s">
        <v>14</v>
      </c>
      <c r="R72" s="45"/>
      <c r="S72" s="9"/>
      <c r="T72" s="9"/>
      <c r="U72" s="9"/>
      <c r="V72" s="9"/>
      <c r="X72" s="9"/>
      <c r="Y72" s="9"/>
      <c r="Z72" s="9"/>
      <c r="AA72" s="9"/>
    </row>
    <row r="73" spans="1:27" outlineLevel="1" x14ac:dyDescent="0.2">
      <c r="B73" s="10"/>
      <c r="C73" s="9"/>
      <c r="I73" s="47" t="s">
        <v>11</v>
      </c>
      <c r="J73" s="72" t="s">
        <v>8</v>
      </c>
      <c r="K73" s="47"/>
      <c r="L73" s="47"/>
      <c r="M73" s="44"/>
      <c r="N73" s="47" t="s">
        <v>11</v>
      </c>
      <c r="O73" s="72" t="s">
        <v>6</v>
      </c>
      <c r="P73" s="47"/>
      <c r="Q73" s="47"/>
      <c r="R73" s="45"/>
    </row>
    <row r="74" spans="1:27" ht="17" customHeight="1" x14ac:dyDescent="0.2">
      <c r="B74" s="10"/>
      <c r="C74" s="9"/>
      <c r="D74" s="47"/>
      <c r="E74" s="47" t="s">
        <v>60</v>
      </c>
      <c r="F74" s="46" t="s">
        <v>61</v>
      </c>
      <c r="G74" s="47" t="s">
        <v>43</v>
      </c>
      <c r="H74" s="45"/>
      <c r="I74" s="46" t="s">
        <v>9</v>
      </c>
      <c r="J74" s="46" t="s">
        <v>66</v>
      </c>
      <c r="K74" s="46" t="s">
        <v>60</v>
      </c>
      <c r="L74" s="46" t="s">
        <v>62</v>
      </c>
      <c r="M74" s="44"/>
      <c r="N74" s="46" t="s">
        <v>9</v>
      </c>
      <c r="O74" s="46" t="s">
        <v>66</v>
      </c>
      <c r="P74" s="46" t="s">
        <v>60</v>
      </c>
      <c r="Q74" s="46" t="s">
        <v>62</v>
      </c>
      <c r="R74" s="45"/>
      <c r="S74" s="9"/>
      <c r="T74" s="9"/>
      <c r="U74" s="9"/>
      <c r="V74" s="9"/>
      <c r="X74" s="9"/>
      <c r="Y74" s="9"/>
      <c r="Z74" s="9"/>
      <c r="AA74" s="9"/>
    </row>
    <row r="75" spans="1:27" outlineLevel="1" x14ac:dyDescent="0.2">
      <c r="B75" s="10"/>
      <c r="C75" s="9"/>
      <c r="D75" s="47" t="s">
        <v>16</v>
      </c>
      <c r="E75" s="47">
        <f>SUM(K83,P83,U83,Z83)</f>
        <v>0</v>
      </c>
      <c r="F75" s="47">
        <f>SUM(L83,Q83,V83,AA83)</f>
        <v>45</v>
      </c>
      <c r="G75" s="47">
        <f>SUM(E75:F75)</f>
        <v>45</v>
      </c>
      <c r="H75" s="45"/>
      <c r="I75" s="46">
        <v>1</v>
      </c>
      <c r="J75" s="46">
        <f>SUM(K75,L75)</f>
        <v>3</v>
      </c>
      <c r="K75" s="46"/>
      <c r="L75" s="46">
        <v>3</v>
      </c>
      <c r="M75" s="44"/>
      <c r="N75" s="46">
        <v>1</v>
      </c>
      <c r="O75" s="46">
        <f>SUM(P75,Q75)</f>
        <v>3</v>
      </c>
      <c r="P75" s="46"/>
      <c r="Q75" s="46">
        <v>3</v>
      </c>
      <c r="R75" s="45"/>
      <c r="S75" s="9"/>
      <c r="T75" s="9"/>
      <c r="U75" s="9"/>
      <c r="V75" s="9"/>
      <c r="X75" s="9"/>
      <c r="Y75" s="9"/>
      <c r="Z75" s="9"/>
      <c r="AA75" s="9"/>
    </row>
    <row r="76" spans="1:27" outlineLevel="1" x14ac:dyDescent="0.2">
      <c r="B76" s="10"/>
      <c r="C76" s="9"/>
      <c r="D76" s="47" t="s">
        <v>17</v>
      </c>
      <c r="E76" s="47">
        <v>0</v>
      </c>
      <c r="F76" s="47">
        <v>42.3</v>
      </c>
      <c r="G76" s="47">
        <f>SUM(E76:F76)</f>
        <v>42.3</v>
      </c>
      <c r="H76" s="45"/>
      <c r="I76" s="47">
        <v>2</v>
      </c>
      <c r="J76" s="46">
        <f t="shared" ref="J76:J82" si="13">SUM(K76,L76)</f>
        <v>4</v>
      </c>
      <c r="K76" s="47"/>
      <c r="L76" s="47">
        <v>4</v>
      </c>
      <c r="M76" s="44"/>
      <c r="N76" s="47">
        <v>2</v>
      </c>
      <c r="O76" s="46">
        <f t="shared" ref="O76:O82" si="14">SUM(P76,Q76)</f>
        <v>4</v>
      </c>
      <c r="P76" s="47"/>
      <c r="Q76" s="47">
        <v>4</v>
      </c>
      <c r="R76" s="45"/>
      <c r="T76" s="9"/>
      <c r="Y76" s="9"/>
    </row>
    <row r="77" spans="1:27" outlineLevel="1" x14ac:dyDescent="0.2">
      <c r="B77" s="10"/>
      <c r="C77" s="9"/>
      <c r="D77" s="47" t="s">
        <v>40</v>
      </c>
      <c r="E77" s="47"/>
      <c r="F77" s="48">
        <f>MIN(F75,F76)/MAX(F75,F76)</f>
        <v>0.94</v>
      </c>
      <c r="G77" s="48">
        <f>MIN(G75,G76)/MAX(G75,G76)</f>
        <v>0.94</v>
      </c>
      <c r="H77" s="45"/>
      <c r="I77" s="47">
        <v>3</v>
      </c>
      <c r="J77" s="46">
        <f t="shared" si="13"/>
        <v>4</v>
      </c>
      <c r="K77" s="47"/>
      <c r="L77" s="47">
        <v>4</v>
      </c>
      <c r="M77" s="44"/>
      <c r="N77" s="47">
        <v>3</v>
      </c>
      <c r="O77" s="46">
        <f t="shared" si="14"/>
        <v>4</v>
      </c>
      <c r="P77" s="47"/>
      <c r="Q77" s="47">
        <v>4</v>
      </c>
      <c r="R77" s="45"/>
      <c r="T77" s="9"/>
      <c r="Y77" s="9"/>
    </row>
    <row r="78" spans="1:27" outlineLevel="1" x14ac:dyDescent="0.2">
      <c r="B78" s="10"/>
      <c r="C78" s="9"/>
      <c r="D78" s="49"/>
      <c r="E78" s="49"/>
      <c r="F78" s="49"/>
      <c r="G78" s="49"/>
      <c r="I78" s="46">
        <v>4</v>
      </c>
      <c r="J78" s="46">
        <f t="shared" si="13"/>
        <v>4</v>
      </c>
      <c r="K78" s="47"/>
      <c r="L78" s="47">
        <v>4</v>
      </c>
      <c r="M78" s="44"/>
      <c r="N78" s="46">
        <v>4</v>
      </c>
      <c r="O78" s="46">
        <f t="shared" si="14"/>
        <v>4</v>
      </c>
      <c r="P78" s="47"/>
      <c r="Q78" s="47">
        <v>4</v>
      </c>
      <c r="R78" s="45"/>
      <c r="S78" s="9"/>
      <c r="T78" s="9"/>
      <c r="X78" s="9"/>
      <c r="Y78" s="9"/>
    </row>
    <row r="79" spans="1:27" ht="18" customHeight="1" outlineLevel="1" x14ac:dyDescent="0.2">
      <c r="B79" s="10"/>
      <c r="C79" s="9"/>
      <c r="D79" s="47" t="s">
        <v>0</v>
      </c>
      <c r="E79" s="46" t="s">
        <v>63</v>
      </c>
      <c r="F79" s="46" t="s">
        <v>64</v>
      </c>
      <c r="G79" s="47" t="s">
        <v>37</v>
      </c>
      <c r="H79" s="45"/>
      <c r="I79" s="46">
        <v>5</v>
      </c>
      <c r="J79" s="46">
        <f t="shared" si="13"/>
        <v>4</v>
      </c>
      <c r="K79" s="47"/>
      <c r="L79" s="47">
        <v>4</v>
      </c>
      <c r="M79" s="44"/>
      <c r="N79" s="46">
        <v>5</v>
      </c>
      <c r="O79" s="46">
        <f t="shared" si="14"/>
        <v>4</v>
      </c>
      <c r="P79" s="47"/>
      <c r="Q79" s="47">
        <v>4</v>
      </c>
      <c r="R79" s="45"/>
      <c r="S79" s="9"/>
      <c r="T79" s="9"/>
      <c r="X79" s="9"/>
      <c r="Y79" s="9"/>
    </row>
    <row r="80" spans="1:27" outlineLevel="1" x14ac:dyDescent="0.2">
      <c r="B80" s="10"/>
      <c r="C80" s="9"/>
      <c r="D80" s="47" t="s">
        <v>16</v>
      </c>
      <c r="E80" s="47">
        <f>SUM(K83)</f>
        <v>0</v>
      </c>
      <c r="F80" s="47">
        <f>SUM(L83)</f>
        <v>19</v>
      </c>
      <c r="G80" s="47">
        <f>SUM(E80:F80)</f>
        <v>19</v>
      </c>
      <c r="H80" s="45"/>
      <c r="I80" s="46">
        <v>6</v>
      </c>
      <c r="J80" s="46">
        <f t="shared" si="13"/>
        <v>0</v>
      </c>
      <c r="K80" s="47"/>
      <c r="L80" s="47">
        <v>0</v>
      </c>
      <c r="M80" s="44"/>
      <c r="N80" s="46">
        <v>6</v>
      </c>
      <c r="O80" s="46">
        <f t="shared" si="14"/>
        <v>4</v>
      </c>
      <c r="P80" s="47"/>
      <c r="Q80" s="47">
        <v>4</v>
      </c>
      <c r="R80" s="45"/>
      <c r="S80" s="9"/>
      <c r="T80" s="9"/>
      <c r="X80" s="9"/>
      <c r="Y80" s="9"/>
    </row>
    <row r="81" spans="2:28" outlineLevel="1" x14ac:dyDescent="0.2">
      <c r="B81" s="10"/>
      <c r="C81" s="9"/>
      <c r="D81" s="47" t="s">
        <v>17</v>
      </c>
      <c r="E81" s="47">
        <v>0</v>
      </c>
      <c r="F81" s="47">
        <v>21</v>
      </c>
      <c r="G81" s="47">
        <f>SUM(E81:F81)</f>
        <v>21</v>
      </c>
      <c r="H81" s="45"/>
      <c r="I81" s="46">
        <v>7</v>
      </c>
      <c r="J81" s="46">
        <f t="shared" si="13"/>
        <v>0</v>
      </c>
      <c r="K81" s="47"/>
      <c r="L81" s="47">
        <v>0</v>
      </c>
      <c r="M81" s="44"/>
      <c r="N81" s="46">
        <v>7</v>
      </c>
      <c r="O81" s="46">
        <f t="shared" si="14"/>
        <v>0</v>
      </c>
      <c r="P81" s="47"/>
      <c r="Q81" s="47">
        <v>0</v>
      </c>
      <c r="R81" s="45"/>
      <c r="S81" s="9"/>
      <c r="T81" s="9"/>
      <c r="X81" s="9"/>
      <c r="Y81" s="9"/>
    </row>
    <row r="82" spans="2:28" outlineLevel="1" x14ac:dyDescent="0.2">
      <c r="B82" s="10"/>
      <c r="C82" s="9"/>
      <c r="D82" s="47" t="s">
        <v>40</v>
      </c>
      <c r="E82" s="48" t="e">
        <f>MIN(E80,E81)/MAX(E80,E81)</f>
        <v>#DIV/0!</v>
      </c>
      <c r="F82" s="48">
        <f>MIN(F80,F81)/MAX(F80,F81)</f>
        <v>0.90476190476190477</v>
      </c>
      <c r="G82" s="48">
        <f>MIN(G80,G81)/MAX(G80,G81)</f>
        <v>0.90476190476190477</v>
      </c>
      <c r="H82" s="45"/>
      <c r="I82" s="47" t="s">
        <v>10</v>
      </c>
      <c r="J82" s="46">
        <f t="shared" si="13"/>
        <v>0</v>
      </c>
      <c r="K82" s="47"/>
      <c r="L82" s="47">
        <v>0</v>
      </c>
      <c r="M82" s="44"/>
      <c r="N82" s="47" t="s">
        <v>10</v>
      </c>
      <c r="O82" s="46">
        <f t="shared" si="14"/>
        <v>3</v>
      </c>
      <c r="P82" s="47"/>
      <c r="Q82" s="47">
        <v>3</v>
      </c>
      <c r="R82" s="45"/>
      <c r="T82" s="9"/>
      <c r="Y82" s="9"/>
    </row>
    <row r="83" spans="2:28" outlineLevel="1" x14ac:dyDescent="0.2">
      <c r="B83" s="10"/>
      <c r="C83" s="9"/>
      <c r="D83" s="49"/>
      <c r="E83" s="49"/>
      <c r="F83" s="49"/>
      <c r="G83" s="49"/>
      <c r="I83" s="47" t="s">
        <v>13</v>
      </c>
      <c r="J83" s="47">
        <f>(SUM(J75:J82))</f>
        <v>19</v>
      </c>
      <c r="K83" s="47">
        <f>(SUM(K75:K82))</f>
        <v>0</v>
      </c>
      <c r="L83" s="47">
        <f>(SUM(L75:L82))</f>
        <v>19</v>
      </c>
      <c r="M83" s="44"/>
      <c r="N83" s="47" t="s">
        <v>13</v>
      </c>
      <c r="O83" s="47">
        <f>(SUM(O75:O82))</f>
        <v>26</v>
      </c>
      <c r="P83" s="47">
        <f>(SUM(P75:P82))</f>
        <v>0</v>
      </c>
      <c r="Q83" s="47">
        <f>(SUM(Q75:Q82))</f>
        <v>26</v>
      </c>
      <c r="R83" s="45"/>
    </row>
    <row r="84" spans="2:28" outlineLevel="1" x14ac:dyDescent="0.2">
      <c r="B84" s="10"/>
      <c r="C84" s="9"/>
      <c r="I84" s="49"/>
      <c r="J84" s="49"/>
      <c r="K84" s="49"/>
      <c r="L84" s="49"/>
      <c r="M84" s="9"/>
      <c r="N84" s="49"/>
      <c r="O84" s="49"/>
      <c r="P84" s="49"/>
      <c r="Q84" s="49"/>
    </row>
    <row r="85" spans="2:28" outlineLevel="1" x14ac:dyDescent="0.2">
      <c r="B85" s="10"/>
      <c r="C85" s="9"/>
      <c r="D85" s="9"/>
      <c r="E85" s="9"/>
      <c r="F85" s="9"/>
      <c r="G85" s="9"/>
      <c r="H85" s="9"/>
      <c r="I85" s="9"/>
      <c r="J85" s="9"/>
      <c r="K85" s="9"/>
      <c r="L85" s="9"/>
      <c r="M85" s="9"/>
    </row>
    <row r="86" spans="2:28" ht="20" customHeight="1" outlineLevel="1" x14ac:dyDescent="0.2">
      <c r="B86" s="10">
        <v>42</v>
      </c>
      <c r="C86" s="9"/>
      <c r="I86" s="46" t="s">
        <v>77</v>
      </c>
      <c r="J86" s="46">
        <v>1</v>
      </c>
      <c r="K86" s="46" t="s">
        <v>12</v>
      </c>
      <c r="L86" s="46" t="s">
        <v>15</v>
      </c>
      <c r="M86" s="44"/>
      <c r="N86" s="46" t="s">
        <v>77</v>
      </c>
      <c r="O86" s="46">
        <v>2</v>
      </c>
      <c r="P86" s="46" t="s">
        <v>12</v>
      </c>
      <c r="Q86" s="46" t="s">
        <v>14</v>
      </c>
      <c r="R86" s="45"/>
      <c r="S86" s="46" t="s">
        <v>77</v>
      </c>
      <c r="T86" s="46">
        <v>3</v>
      </c>
      <c r="U86" s="46" t="s">
        <v>12</v>
      </c>
      <c r="V86" s="46" t="s">
        <v>14</v>
      </c>
      <c r="W86" s="45"/>
      <c r="X86" s="46" t="s">
        <v>77</v>
      </c>
      <c r="Y86" s="46">
        <v>4</v>
      </c>
      <c r="Z86" s="46" t="s">
        <v>12</v>
      </c>
      <c r="AA86" s="46" t="s">
        <v>15</v>
      </c>
      <c r="AB86" s="45"/>
    </row>
    <row r="87" spans="2:28" outlineLevel="1" x14ac:dyDescent="0.2">
      <c r="B87" s="10"/>
      <c r="C87" s="9"/>
      <c r="I87" s="47" t="s">
        <v>11</v>
      </c>
      <c r="J87" s="72" t="s">
        <v>5</v>
      </c>
      <c r="K87" s="47"/>
      <c r="L87" s="47"/>
      <c r="M87" s="44"/>
      <c r="N87" s="47" t="s">
        <v>11</v>
      </c>
      <c r="O87" s="72" t="s">
        <v>7</v>
      </c>
      <c r="P87" s="47"/>
      <c r="Q87" s="47"/>
      <c r="R87" s="45"/>
      <c r="S87" s="47" t="s">
        <v>11</v>
      </c>
      <c r="T87" s="72" t="s">
        <v>6</v>
      </c>
      <c r="U87" s="47"/>
      <c r="V87" s="47"/>
      <c r="W87" s="45"/>
      <c r="X87" s="47" t="s">
        <v>11</v>
      </c>
      <c r="Y87" s="72" t="s">
        <v>8</v>
      </c>
      <c r="Z87" s="47"/>
      <c r="AA87" s="47"/>
      <c r="AB87" s="45"/>
    </row>
    <row r="88" spans="2:28" ht="18" customHeight="1" x14ac:dyDescent="0.2">
      <c r="B88" s="10"/>
      <c r="C88" s="9"/>
      <c r="D88" s="47"/>
      <c r="E88" s="47" t="s">
        <v>60</v>
      </c>
      <c r="F88" s="46" t="s">
        <v>61</v>
      </c>
      <c r="G88" s="47" t="s">
        <v>43</v>
      </c>
      <c r="H88" s="45"/>
      <c r="I88" s="46" t="s">
        <v>9</v>
      </c>
      <c r="J88" s="46" t="s">
        <v>66</v>
      </c>
      <c r="K88" s="46" t="s">
        <v>60</v>
      </c>
      <c r="L88" s="46" t="s">
        <v>62</v>
      </c>
      <c r="M88" s="44"/>
      <c r="N88" s="46" t="s">
        <v>9</v>
      </c>
      <c r="O88" s="46" t="s">
        <v>66</v>
      </c>
      <c r="P88" s="46" t="s">
        <v>60</v>
      </c>
      <c r="Q88" s="46" t="s">
        <v>62</v>
      </c>
      <c r="R88" s="45"/>
      <c r="S88" s="46" t="s">
        <v>9</v>
      </c>
      <c r="T88" s="46" t="s">
        <v>66</v>
      </c>
      <c r="U88" s="46" t="s">
        <v>60</v>
      </c>
      <c r="V88" s="46" t="s">
        <v>62</v>
      </c>
      <c r="W88" s="45"/>
      <c r="X88" s="46" t="s">
        <v>9</v>
      </c>
      <c r="Y88" s="46" t="s">
        <v>66</v>
      </c>
      <c r="Z88" s="46" t="s">
        <v>60</v>
      </c>
      <c r="AA88" s="46" t="s">
        <v>62</v>
      </c>
      <c r="AB88" s="45"/>
    </row>
    <row r="89" spans="2:28" outlineLevel="1" x14ac:dyDescent="0.2">
      <c r="B89" s="10"/>
      <c r="C89" s="9"/>
      <c r="D89" s="47" t="s">
        <v>16</v>
      </c>
      <c r="E89" s="47">
        <f>SUM(K97,P97,U97,Z97)</f>
        <v>17</v>
      </c>
      <c r="F89" s="47">
        <f>SUM(L97,Q97,V97,AA97)</f>
        <v>76</v>
      </c>
      <c r="G89" s="47">
        <f>SUM(E89:F89)</f>
        <v>93</v>
      </c>
      <c r="H89" s="45"/>
      <c r="I89" s="46">
        <v>1</v>
      </c>
      <c r="J89" s="46">
        <f>SUM(K89,L89)</f>
        <v>1</v>
      </c>
      <c r="K89" s="46"/>
      <c r="L89" s="46">
        <v>1</v>
      </c>
      <c r="M89" s="44"/>
      <c r="N89" s="46">
        <v>1</v>
      </c>
      <c r="O89" s="46">
        <f>SUM(P89,Q89)</f>
        <v>2</v>
      </c>
      <c r="P89" s="46"/>
      <c r="Q89" s="46">
        <v>2</v>
      </c>
      <c r="R89" s="45"/>
      <c r="S89" s="46">
        <v>1</v>
      </c>
      <c r="T89" s="46">
        <f t="shared" ref="T89:T96" si="15">SUM(U89,V89)</f>
        <v>3</v>
      </c>
      <c r="U89" s="46"/>
      <c r="V89" s="46">
        <v>3</v>
      </c>
      <c r="W89" s="45"/>
      <c r="X89" s="46">
        <v>1</v>
      </c>
      <c r="Y89" s="46">
        <f>SUM(Z89,AA89)</f>
        <v>0</v>
      </c>
      <c r="Z89" s="46">
        <v>0</v>
      </c>
      <c r="AA89" s="46">
        <v>0</v>
      </c>
      <c r="AB89" s="45"/>
    </row>
    <row r="90" spans="2:28" outlineLevel="1" x14ac:dyDescent="0.2">
      <c r="B90" s="10"/>
      <c r="C90" s="9"/>
      <c r="D90" s="47" t="s">
        <v>17</v>
      </c>
      <c r="E90" s="47">
        <v>2</v>
      </c>
      <c r="F90" s="47">
        <v>56</v>
      </c>
      <c r="G90" s="47">
        <f>SUM(E90:F90)</f>
        <v>58</v>
      </c>
      <c r="H90" s="45"/>
      <c r="I90" s="47">
        <v>2</v>
      </c>
      <c r="J90" s="46">
        <f t="shared" ref="J90:J96" si="16">SUM(K90,L90)</f>
        <v>3</v>
      </c>
      <c r="K90" s="47">
        <v>1</v>
      </c>
      <c r="L90" s="47">
        <v>2</v>
      </c>
      <c r="M90" s="44"/>
      <c r="N90" s="47">
        <v>2</v>
      </c>
      <c r="O90" s="46">
        <f t="shared" ref="O90:O96" si="17">SUM(P90,Q90)</f>
        <v>3</v>
      </c>
      <c r="P90" s="47">
        <v>1</v>
      </c>
      <c r="Q90" s="47">
        <v>2</v>
      </c>
      <c r="R90" s="45"/>
      <c r="S90" s="47">
        <v>2</v>
      </c>
      <c r="T90" s="46">
        <f t="shared" si="15"/>
        <v>3</v>
      </c>
      <c r="U90" s="47">
        <v>1</v>
      </c>
      <c r="V90" s="47">
        <v>2</v>
      </c>
      <c r="W90" s="45"/>
      <c r="X90" s="47">
        <v>2</v>
      </c>
      <c r="Y90" s="46">
        <f t="shared" ref="Y90:Y96" si="18">SUM(Z90,AA90)</f>
        <v>6</v>
      </c>
      <c r="Z90" s="47">
        <v>1</v>
      </c>
      <c r="AA90" s="47">
        <v>5</v>
      </c>
      <c r="AB90" s="45"/>
    </row>
    <row r="91" spans="2:28" outlineLevel="1" x14ac:dyDescent="0.2">
      <c r="B91" s="10"/>
      <c r="C91" s="9"/>
      <c r="D91" s="47" t="s">
        <v>40</v>
      </c>
      <c r="E91" s="48">
        <f>MIN(E89,E90)/MAX(E89,E90)</f>
        <v>0.11764705882352941</v>
      </c>
      <c r="F91" s="48">
        <f>MIN(F89,F90)/MAX(F89,F90)</f>
        <v>0.73684210526315785</v>
      </c>
      <c r="G91" s="48">
        <f>MIN(G89,G90)/MAX(G89,G90)</f>
        <v>0.62365591397849462</v>
      </c>
      <c r="H91" s="45"/>
      <c r="I91" s="47">
        <v>3</v>
      </c>
      <c r="J91" s="46">
        <f t="shared" si="16"/>
        <v>3</v>
      </c>
      <c r="K91" s="47">
        <v>2</v>
      </c>
      <c r="L91" s="47">
        <v>1</v>
      </c>
      <c r="M91" s="44"/>
      <c r="N91" s="47">
        <v>3</v>
      </c>
      <c r="O91" s="46">
        <f t="shared" si="17"/>
        <v>3</v>
      </c>
      <c r="P91" s="47">
        <v>2</v>
      </c>
      <c r="Q91" s="47">
        <v>1</v>
      </c>
      <c r="R91" s="45"/>
      <c r="S91" s="47">
        <v>3</v>
      </c>
      <c r="T91" s="46">
        <f t="shared" si="15"/>
        <v>3</v>
      </c>
      <c r="U91" s="47">
        <v>2</v>
      </c>
      <c r="V91" s="47">
        <v>1</v>
      </c>
      <c r="W91" s="45"/>
      <c r="X91" s="47">
        <v>3</v>
      </c>
      <c r="Y91" s="46">
        <f t="shared" si="18"/>
        <v>6</v>
      </c>
      <c r="Z91" s="47">
        <v>3</v>
      </c>
      <c r="AA91" s="47">
        <v>3</v>
      </c>
      <c r="AB91" s="45"/>
    </row>
    <row r="92" spans="2:28" outlineLevel="1" x14ac:dyDescent="0.2">
      <c r="B92" s="10"/>
      <c r="C92" s="9"/>
      <c r="D92" s="49"/>
      <c r="E92" s="49"/>
      <c r="F92" s="49"/>
      <c r="G92" s="49"/>
      <c r="I92" s="46">
        <v>4</v>
      </c>
      <c r="J92" s="46">
        <f t="shared" si="16"/>
        <v>3</v>
      </c>
      <c r="K92" s="47"/>
      <c r="L92" s="47">
        <v>3</v>
      </c>
      <c r="M92" s="44"/>
      <c r="N92" s="46">
        <v>4</v>
      </c>
      <c r="O92" s="46">
        <f t="shared" si="17"/>
        <v>3</v>
      </c>
      <c r="P92" s="47"/>
      <c r="Q92" s="47">
        <v>3</v>
      </c>
      <c r="R92" s="45"/>
      <c r="S92" s="46">
        <v>4</v>
      </c>
      <c r="T92" s="46">
        <f t="shared" si="15"/>
        <v>3</v>
      </c>
      <c r="U92" s="47"/>
      <c r="V92" s="47">
        <v>3</v>
      </c>
      <c r="W92" s="45"/>
      <c r="X92" s="46">
        <v>4</v>
      </c>
      <c r="Y92" s="46">
        <f t="shared" si="18"/>
        <v>6</v>
      </c>
      <c r="Z92" s="47">
        <v>0</v>
      </c>
      <c r="AA92" s="47">
        <v>6</v>
      </c>
      <c r="AB92" s="45"/>
    </row>
    <row r="93" spans="2:28" ht="17" customHeight="1" outlineLevel="1" x14ac:dyDescent="0.2">
      <c r="B93" s="10"/>
      <c r="C93" s="9"/>
      <c r="D93" s="47" t="s">
        <v>0</v>
      </c>
      <c r="E93" s="46" t="s">
        <v>63</v>
      </c>
      <c r="F93" s="46" t="s">
        <v>64</v>
      </c>
      <c r="G93" s="47" t="s">
        <v>37</v>
      </c>
      <c r="H93" s="45"/>
      <c r="I93" s="46">
        <v>5</v>
      </c>
      <c r="J93" s="46">
        <f t="shared" si="16"/>
        <v>3</v>
      </c>
      <c r="K93" s="47">
        <v>1</v>
      </c>
      <c r="L93" s="47">
        <v>2</v>
      </c>
      <c r="M93" s="44"/>
      <c r="N93" s="46">
        <v>5</v>
      </c>
      <c r="O93" s="46">
        <f t="shared" si="17"/>
        <v>3</v>
      </c>
      <c r="P93" s="47">
        <v>1</v>
      </c>
      <c r="Q93" s="47">
        <v>2</v>
      </c>
      <c r="R93" s="45"/>
      <c r="S93" s="46">
        <v>5</v>
      </c>
      <c r="T93" s="46">
        <f t="shared" si="15"/>
        <v>3</v>
      </c>
      <c r="U93" s="47">
        <v>1</v>
      </c>
      <c r="V93" s="47">
        <v>2</v>
      </c>
      <c r="W93" s="45"/>
      <c r="X93" s="46">
        <v>5</v>
      </c>
      <c r="Y93" s="46">
        <f t="shared" si="18"/>
        <v>6</v>
      </c>
      <c r="Z93" s="47">
        <v>0</v>
      </c>
      <c r="AA93" s="47">
        <v>6</v>
      </c>
      <c r="AB93" s="45"/>
    </row>
    <row r="94" spans="2:28" outlineLevel="1" x14ac:dyDescent="0.2">
      <c r="B94" s="10"/>
      <c r="C94" s="9"/>
      <c r="D94" s="47" t="s">
        <v>16</v>
      </c>
      <c r="E94" s="47">
        <f>SUM(Z97,K97)</f>
        <v>9</v>
      </c>
      <c r="F94" s="47">
        <f>SUM(AA97,L97)</f>
        <v>43</v>
      </c>
      <c r="G94" s="47">
        <f>SUM(E94:F94)</f>
        <v>52</v>
      </c>
      <c r="H94" s="45"/>
      <c r="I94" s="46">
        <v>6</v>
      </c>
      <c r="J94" s="46">
        <f t="shared" si="16"/>
        <v>3</v>
      </c>
      <c r="K94" s="47"/>
      <c r="L94" s="47">
        <v>3</v>
      </c>
      <c r="M94" s="44"/>
      <c r="N94" s="46">
        <v>6</v>
      </c>
      <c r="O94" s="46">
        <f t="shared" si="17"/>
        <v>3</v>
      </c>
      <c r="P94" s="47"/>
      <c r="Q94" s="47">
        <v>3</v>
      </c>
      <c r="R94" s="45"/>
      <c r="S94" s="46">
        <v>6</v>
      </c>
      <c r="T94" s="46">
        <f t="shared" si="15"/>
        <v>3</v>
      </c>
      <c r="U94" s="47"/>
      <c r="V94" s="47">
        <v>3</v>
      </c>
      <c r="W94" s="45"/>
      <c r="X94" s="46">
        <v>6</v>
      </c>
      <c r="Y94" s="46">
        <f t="shared" si="18"/>
        <v>6</v>
      </c>
      <c r="Z94" s="47">
        <v>1</v>
      </c>
      <c r="AA94" s="47">
        <v>5</v>
      </c>
      <c r="AB94" s="45"/>
    </row>
    <row r="95" spans="2:28" ht="17" outlineLevel="1" x14ac:dyDescent="0.2">
      <c r="B95" s="50" t="s">
        <v>44</v>
      </c>
      <c r="C95" s="44"/>
      <c r="D95" s="47" t="s">
        <v>17</v>
      </c>
      <c r="E95" s="47">
        <v>1</v>
      </c>
      <c r="F95" s="47">
        <v>38</v>
      </c>
      <c r="G95" s="47">
        <f>SUM(E95:F95)</f>
        <v>39</v>
      </c>
      <c r="H95" s="45"/>
      <c r="I95" s="46">
        <v>7</v>
      </c>
      <c r="J95" s="46">
        <f t="shared" si="16"/>
        <v>0</v>
      </c>
      <c r="K95" s="47"/>
      <c r="L95" s="47">
        <v>0</v>
      </c>
      <c r="M95" s="44"/>
      <c r="N95" s="46">
        <v>7</v>
      </c>
      <c r="O95" s="46">
        <f t="shared" si="17"/>
        <v>0</v>
      </c>
      <c r="P95" s="47"/>
      <c r="Q95" s="47">
        <v>0</v>
      </c>
      <c r="R95" s="45"/>
      <c r="S95" s="46">
        <v>7</v>
      </c>
      <c r="T95" s="46">
        <f t="shared" si="15"/>
        <v>0</v>
      </c>
      <c r="U95" s="47"/>
      <c r="V95" s="47">
        <v>0</v>
      </c>
      <c r="W95" s="45"/>
      <c r="X95" s="46">
        <v>7</v>
      </c>
      <c r="Y95" s="46">
        <f t="shared" si="18"/>
        <v>0</v>
      </c>
      <c r="Z95" s="47"/>
      <c r="AA95" s="47">
        <v>0</v>
      </c>
      <c r="AB95" s="45"/>
    </row>
    <row r="96" spans="2:28" outlineLevel="1" x14ac:dyDescent="0.2">
      <c r="B96" s="87" t="s">
        <v>76</v>
      </c>
      <c r="C96" s="44"/>
      <c r="D96" s="47" t="s">
        <v>40</v>
      </c>
      <c r="E96" s="48">
        <f>MIN(E94,E95)/MAX(E94,E95)</f>
        <v>0.1111111111111111</v>
      </c>
      <c r="F96" s="48">
        <f>MIN(F94,F95)/MAX(F94,F95)</f>
        <v>0.88372093023255816</v>
      </c>
      <c r="G96" s="48">
        <f>MIN(G94,G95)/MAX(G94,G95)</f>
        <v>0.75</v>
      </c>
      <c r="H96" s="45"/>
      <c r="I96" s="47" t="s">
        <v>10</v>
      </c>
      <c r="J96" s="46">
        <f t="shared" si="16"/>
        <v>0</v>
      </c>
      <c r="K96" s="47"/>
      <c r="L96" s="47">
        <v>0</v>
      </c>
      <c r="M96" s="44"/>
      <c r="N96" s="47" t="s">
        <v>10</v>
      </c>
      <c r="O96" s="46">
        <f t="shared" si="17"/>
        <v>3</v>
      </c>
      <c r="P96" s="47"/>
      <c r="Q96" s="47">
        <v>3</v>
      </c>
      <c r="R96" s="45"/>
      <c r="S96" s="47" t="s">
        <v>10</v>
      </c>
      <c r="T96" s="46">
        <f t="shared" si="15"/>
        <v>3</v>
      </c>
      <c r="U96" s="47"/>
      <c r="V96" s="47">
        <v>3</v>
      </c>
      <c r="W96" s="45"/>
      <c r="X96" s="47" t="s">
        <v>10</v>
      </c>
      <c r="Y96" s="46">
        <f t="shared" si="18"/>
        <v>6</v>
      </c>
      <c r="Z96" s="47"/>
      <c r="AA96" s="47">
        <v>6</v>
      </c>
      <c r="AB96" s="45"/>
    </row>
    <row r="97" spans="1:28" outlineLevel="1" x14ac:dyDescent="0.2">
      <c r="B97" s="87"/>
      <c r="C97" s="44"/>
      <c r="D97" s="49"/>
      <c r="E97" s="49"/>
      <c r="F97" s="49"/>
      <c r="G97" s="49"/>
      <c r="I97" s="47" t="s">
        <v>13</v>
      </c>
      <c r="J97" s="47">
        <f>(SUM(J89:J96))</f>
        <v>16</v>
      </c>
      <c r="K97" s="47">
        <f>(SUM(K89:K96))</f>
        <v>4</v>
      </c>
      <c r="L97" s="47">
        <f>(SUM(L89:L96))</f>
        <v>12</v>
      </c>
      <c r="M97" s="44"/>
      <c r="N97" s="47" t="s">
        <v>13</v>
      </c>
      <c r="O97" s="47">
        <f>(SUM(O89:O96))</f>
        <v>20</v>
      </c>
      <c r="P97" s="47">
        <f>(SUM(P89:P96))</f>
        <v>4</v>
      </c>
      <c r="Q97" s="47">
        <f>(SUM(Q89:Q96))</f>
        <v>16</v>
      </c>
      <c r="R97" s="45"/>
      <c r="S97" s="47" t="s">
        <v>13</v>
      </c>
      <c r="T97" s="47">
        <f>(SUM(T89:T96))</f>
        <v>21</v>
      </c>
      <c r="U97" s="47">
        <f>(SUM(U89:U96))</f>
        <v>4</v>
      </c>
      <c r="V97" s="47">
        <f>(SUM(V89:V96))</f>
        <v>17</v>
      </c>
      <c r="W97" s="45"/>
      <c r="X97" s="47" t="s">
        <v>13</v>
      </c>
      <c r="Y97" s="47">
        <f>(SUM(Y89:Y96))</f>
        <v>36</v>
      </c>
      <c r="Z97" s="47">
        <f>(SUM(Z89:Z96))</f>
        <v>5</v>
      </c>
      <c r="AA97" s="47">
        <f>(SUM(AA89:AA96))</f>
        <v>31</v>
      </c>
      <c r="AB97" s="45"/>
    </row>
    <row r="98" spans="1:28" outlineLevel="1" x14ac:dyDescent="0.2">
      <c r="B98" s="52"/>
      <c r="C98" s="9"/>
      <c r="I98" s="49"/>
      <c r="J98" s="49"/>
      <c r="K98" s="49"/>
      <c r="L98" s="49"/>
      <c r="M98" s="9"/>
      <c r="N98" s="49"/>
      <c r="O98" s="49"/>
      <c r="P98" s="49"/>
      <c r="Q98" s="49"/>
      <c r="S98" s="49"/>
      <c r="T98" s="49"/>
      <c r="U98" s="49"/>
      <c r="V98" s="49"/>
      <c r="X98" s="49"/>
      <c r="Y98" s="49"/>
      <c r="Z98" s="49"/>
      <c r="AA98" s="49"/>
    </row>
    <row r="99" spans="1:28" x14ac:dyDescent="0.2">
      <c r="B99" s="10"/>
      <c r="C99" s="9"/>
      <c r="D99" s="9"/>
      <c r="E99" s="9"/>
      <c r="F99" s="9"/>
      <c r="G99" s="9"/>
      <c r="H99" s="9"/>
      <c r="I99" s="9"/>
      <c r="J99" s="9"/>
      <c r="K99" s="9"/>
      <c r="L99" s="9"/>
      <c r="M99" s="9"/>
    </row>
    <row r="100" spans="1:28" ht="34" x14ac:dyDescent="0.2">
      <c r="A100" s="9" t="s">
        <v>74</v>
      </c>
      <c r="B100" s="10">
        <v>53</v>
      </c>
      <c r="C100" s="9"/>
      <c r="I100" s="46" t="s">
        <v>77</v>
      </c>
      <c r="J100" s="46">
        <v>1</v>
      </c>
      <c r="K100" s="46" t="s">
        <v>12</v>
      </c>
      <c r="L100" s="46" t="s">
        <v>15</v>
      </c>
      <c r="M100" s="44"/>
      <c r="N100" s="46" t="s">
        <v>77</v>
      </c>
      <c r="O100" s="46">
        <v>2</v>
      </c>
      <c r="P100" s="46" t="s">
        <v>12</v>
      </c>
      <c r="Q100" s="46" t="s">
        <v>14</v>
      </c>
      <c r="R100" s="45"/>
      <c r="S100" s="46" t="s">
        <v>77</v>
      </c>
      <c r="T100" s="46">
        <v>3</v>
      </c>
      <c r="U100" s="46" t="s">
        <v>12</v>
      </c>
      <c r="V100" s="46" t="s">
        <v>14</v>
      </c>
      <c r="W100" s="45"/>
      <c r="X100" s="9"/>
      <c r="Y100" s="9"/>
      <c r="Z100" s="9"/>
      <c r="AA100" s="9"/>
    </row>
    <row r="101" spans="1:28" x14ac:dyDescent="0.2">
      <c r="B101" s="10"/>
      <c r="C101" s="9"/>
      <c r="I101" s="47" t="s">
        <v>11</v>
      </c>
      <c r="J101" s="72" t="s">
        <v>5</v>
      </c>
      <c r="K101" s="47"/>
      <c r="L101" s="47"/>
      <c r="M101" s="44"/>
      <c r="N101" s="47" t="s">
        <v>11</v>
      </c>
      <c r="O101" s="72" t="s">
        <v>7</v>
      </c>
      <c r="P101" s="47"/>
      <c r="Q101" s="47"/>
      <c r="R101" s="45"/>
      <c r="S101" s="47" t="s">
        <v>11</v>
      </c>
      <c r="T101" s="72" t="s">
        <v>8</v>
      </c>
      <c r="U101" s="47"/>
      <c r="V101" s="47"/>
      <c r="W101" s="45"/>
    </row>
    <row r="102" spans="1:28" ht="18" customHeight="1" x14ac:dyDescent="0.2">
      <c r="B102" s="10"/>
      <c r="C102" s="9"/>
      <c r="D102" s="47"/>
      <c r="E102" s="47" t="s">
        <v>60</v>
      </c>
      <c r="F102" s="46" t="s">
        <v>61</v>
      </c>
      <c r="G102" s="47" t="s">
        <v>43</v>
      </c>
      <c r="H102" s="45"/>
      <c r="I102" s="46" t="s">
        <v>9</v>
      </c>
      <c r="J102" s="46" t="s">
        <v>66</v>
      </c>
      <c r="K102" s="46" t="s">
        <v>60</v>
      </c>
      <c r="L102" s="46" t="s">
        <v>62</v>
      </c>
      <c r="M102" s="44"/>
      <c r="N102" s="46" t="s">
        <v>9</v>
      </c>
      <c r="O102" s="46" t="s">
        <v>66</v>
      </c>
      <c r="P102" s="46" t="s">
        <v>60</v>
      </c>
      <c r="Q102" s="46" t="s">
        <v>62</v>
      </c>
      <c r="R102" s="45"/>
      <c r="S102" s="46" t="s">
        <v>9</v>
      </c>
      <c r="T102" s="46" t="s">
        <v>66</v>
      </c>
      <c r="U102" s="46" t="s">
        <v>60</v>
      </c>
      <c r="V102" s="46" t="s">
        <v>62</v>
      </c>
      <c r="W102" s="45"/>
      <c r="X102" s="9"/>
      <c r="Y102" s="9"/>
      <c r="Z102" s="9"/>
      <c r="AA102" s="9"/>
    </row>
    <row r="103" spans="1:28" x14ac:dyDescent="0.2">
      <c r="B103" s="10"/>
      <c r="C103" s="9"/>
      <c r="D103" s="47" t="s">
        <v>16</v>
      </c>
      <c r="E103" s="47">
        <f>SUM(K111,P111,U111,Z111)</f>
        <v>0</v>
      </c>
      <c r="F103" s="47">
        <f>SUM(L111,Q111,V111,AA111)</f>
        <v>95</v>
      </c>
      <c r="G103" s="47">
        <f>SUM(E103:F103)</f>
        <v>95</v>
      </c>
      <c r="H103" s="45"/>
      <c r="I103" s="46">
        <v>1</v>
      </c>
      <c r="J103" s="46">
        <f>SUM(K103,L103)</f>
        <v>5</v>
      </c>
      <c r="K103" s="46"/>
      <c r="L103" s="46">
        <v>5</v>
      </c>
      <c r="M103" s="44"/>
      <c r="N103" s="46">
        <v>1</v>
      </c>
      <c r="O103" s="46">
        <f>SUM(P103,Q103)</f>
        <v>5</v>
      </c>
      <c r="P103" s="46"/>
      <c r="Q103" s="46">
        <v>5</v>
      </c>
      <c r="R103" s="45"/>
      <c r="S103" s="46">
        <v>1</v>
      </c>
      <c r="T103" s="46">
        <f t="shared" ref="T103:T110" si="19">SUM(U103,V103)</f>
        <v>3</v>
      </c>
      <c r="U103" s="46"/>
      <c r="V103" s="46">
        <v>3</v>
      </c>
      <c r="W103" s="45"/>
      <c r="X103" s="9"/>
      <c r="Y103" s="9"/>
      <c r="Z103" s="9"/>
      <c r="AA103" s="9"/>
    </row>
    <row r="104" spans="1:28" x14ac:dyDescent="0.2">
      <c r="B104" s="10"/>
      <c r="C104" s="9"/>
      <c r="D104" s="47" t="s">
        <v>17</v>
      </c>
      <c r="E104" s="47">
        <v>0</v>
      </c>
      <c r="F104" s="47">
        <v>63.5</v>
      </c>
      <c r="G104" s="47">
        <f>SUM(E104:F104)</f>
        <v>63.5</v>
      </c>
      <c r="H104" s="45"/>
      <c r="I104" s="47">
        <v>2</v>
      </c>
      <c r="J104" s="46">
        <f t="shared" ref="J104:J110" si="20">SUM(K104,L104)</f>
        <v>8</v>
      </c>
      <c r="K104" s="47"/>
      <c r="L104" s="47">
        <v>8</v>
      </c>
      <c r="M104" s="44"/>
      <c r="N104" s="47">
        <v>2</v>
      </c>
      <c r="O104" s="46">
        <f t="shared" ref="O104:O110" si="21">SUM(P104,Q104)</f>
        <v>6</v>
      </c>
      <c r="P104" s="47"/>
      <c r="Q104" s="47">
        <v>6</v>
      </c>
      <c r="R104" s="45"/>
      <c r="S104" s="47">
        <v>2</v>
      </c>
      <c r="T104" s="46">
        <f t="shared" si="19"/>
        <v>4</v>
      </c>
      <c r="U104" s="47"/>
      <c r="V104" s="47">
        <v>4</v>
      </c>
      <c r="W104" s="45"/>
      <c r="Y104" s="9"/>
    </row>
    <row r="105" spans="1:28" x14ac:dyDescent="0.2">
      <c r="B105" s="10"/>
      <c r="C105" s="9"/>
      <c r="D105" s="47" t="s">
        <v>40</v>
      </c>
      <c r="E105" s="47"/>
      <c r="F105" s="48">
        <f>MIN(F103,F104)/MAX(F103,F104)</f>
        <v>0.66842105263157892</v>
      </c>
      <c r="G105" s="48">
        <f>MIN(G103,G104)/MAX(G103,G104)</f>
        <v>0.66842105263157892</v>
      </c>
      <c r="H105" s="45"/>
      <c r="I105" s="47">
        <v>3</v>
      </c>
      <c r="J105" s="46">
        <f t="shared" si="20"/>
        <v>8</v>
      </c>
      <c r="K105" s="47"/>
      <c r="L105" s="47">
        <v>8</v>
      </c>
      <c r="M105" s="44"/>
      <c r="N105" s="47">
        <v>3</v>
      </c>
      <c r="O105" s="46">
        <f t="shared" si="21"/>
        <v>6</v>
      </c>
      <c r="P105" s="47"/>
      <c r="Q105" s="47">
        <v>6</v>
      </c>
      <c r="R105" s="45"/>
      <c r="S105" s="47">
        <v>3</v>
      </c>
      <c r="T105" s="46">
        <f t="shared" si="19"/>
        <v>4</v>
      </c>
      <c r="U105" s="47"/>
      <c r="V105" s="47">
        <v>4</v>
      </c>
      <c r="W105" s="45"/>
      <c r="Y105" s="9"/>
    </row>
    <row r="106" spans="1:28" x14ac:dyDescent="0.2">
      <c r="B106" s="10"/>
      <c r="C106" s="9"/>
      <c r="D106" s="49"/>
      <c r="E106" s="49"/>
      <c r="F106" s="49"/>
      <c r="G106" s="49"/>
      <c r="I106" s="46">
        <v>4</v>
      </c>
      <c r="J106" s="46">
        <f t="shared" si="20"/>
        <v>8</v>
      </c>
      <c r="K106" s="47"/>
      <c r="L106" s="47">
        <v>8</v>
      </c>
      <c r="M106" s="44"/>
      <c r="N106" s="46">
        <v>4</v>
      </c>
      <c r="O106" s="46">
        <f t="shared" si="21"/>
        <v>6</v>
      </c>
      <c r="P106" s="47"/>
      <c r="Q106" s="47">
        <v>6</v>
      </c>
      <c r="R106" s="45"/>
      <c r="S106" s="46">
        <v>4</v>
      </c>
      <c r="T106" s="46">
        <f t="shared" si="19"/>
        <v>4</v>
      </c>
      <c r="U106" s="47"/>
      <c r="V106" s="47">
        <v>4</v>
      </c>
      <c r="W106" s="45"/>
      <c r="X106" s="9"/>
      <c r="Y106" s="9"/>
    </row>
    <row r="107" spans="1:28" ht="18" customHeight="1" x14ac:dyDescent="0.2">
      <c r="B107" s="10"/>
      <c r="C107" s="9"/>
      <c r="D107" s="47" t="s">
        <v>0</v>
      </c>
      <c r="E107" s="46" t="s">
        <v>63</v>
      </c>
      <c r="F107" s="46" t="s">
        <v>64</v>
      </c>
      <c r="G107" s="47" t="s">
        <v>37</v>
      </c>
      <c r="H107" s="45"/>
      <c r="I107" s="46">
        <v>5</v>
      </c>
      <c r="J107" s="46">
        <f t="shared" si="20"/>
        <v>6</v>
      </c>
      <c r="K107" s="47"/>
      <c r="L107" s="47">
        <v>6</v>
      </c>
      <c r="M107" s="44"/>
      <c r="N107" s="46">
        <v>5</v>
      </c>
      <c r="O107" s="46">
        <f t="shared" si="21"/>
        <v>8</v>
      </c>
      <c r="P107" s="47"/>
      <c r="Q107" s="47">
        <v>8</v>
      </c>
      <c r="R107" s="45"/>
      <c r="S107" s="46">
        <v>5</v>
      </c>
      <c r="T107" s="46">
        <f t="shared" si="19"/>
        <v>0</v>
      </c>
      <c r="U107" s="47"/>
      <c r="V107" s="47">
        <v>0</v>
      </c>
      <c r="W107" s="45"/>
      <c r="X107" s="9"/>
      <c r="Y107" s="9"/>
    </row>
    <row r="108" spans="1:28" x14ac:dyDescent="0.2">
      <c r="B108" s="10"/>
      <c r="C108" s="9"/>
      <c r="D108" s="47" t="s">
        <v>16</v>
      </c>
      <c r="E108" s="47">
        <f>SUM(K111)</f>
        <v>0</v>
      </c>
      <c r="F108" s="47">
        <f>SUM(L111)</f>
        <v>39</v>
      </c>
      <c r="G108" s="47">
        <f>SUM(E108:F108)</f>
        <v>39</v>
      </c>
      <c r="H108" s="45"/>
      <c r="I108" s="46">
        <v>6</v>
      </c>
      <c r="J108" s="46">
        <f t="shared" si="20"/>
        <v>0</v>
      </c>
      <c r="K108" s="47"/>
      <c r="L108" s="47">
        <v>0</v>
      </c>
      <c r="M108" s="44"/>
      <c r="N108" s="46">
        <v>6</v>
      </c>
      <c r="O108" s="46">
        <f t="shared" si="21"/>
        <v>8</v>
      </c>
      <c r="P108" s="47"/>
      <c r="Q108" s="47">
        <v>8</v>
      </c>
      <c r="R108" s="45"/>
      <c r="S108" s="46">
        <v>6</v>
      </c>
      <c r="T108" s="46">
        <f t="shared" si="19"/>
        <v>0</v>
      </c>
      <c r="U108" s="47"/>
      <c r="V108" s="47">
        <v>0</v>
      </c>
      <c r="W108" s="45"/>
      <c r="X108" s="9"/>
      <c r="Y108" s="9"/>
    </row>
    <row r="109" spans="1:28" x14ac:dyDescent="0.2">
      <c r="B109" s="10"/>
      <c r="C109" s="9"/>
      <c r="D109" s="47" t="s">
        <v>17</v>
      </c>
      <c r="E109" s="47">
        <v>0</v>
      </c>
      <c r="F109" s="47">
        <v>23</v>
      </c>
      <c r="G109" s="47">
        <f>SUM(E109:F109)</f>
        <v>23</v>
      </c>
      <c r="H109" s="45"/>
      <c r="I109" s="46">
        <v>7</v>
      </c>
      <c r="J109" s="46">
        <f t="shared" si="20"/>
        <v>0</v>
      </c>
      <c r="K109" s="47"/>
      <c r="L109" s="47">
        <v>0</v>
      </c>
      <c r="M109" s="44"/>
      <c r="N109" s="46">
        <v>7</v>
      </c>
      <c r="O109" s="46">
        <f t="shared" si="21"/>
        <v>0</v>
      </c>
      <c r="P109" s="47"/>
      <c r="Q109" s="47">
        <v>0</v>
      </c>
      <c r="R109" s="45"/>
      <c r="S109" s="46">
        <v>7</v>
      </c>
      <c r="T109" s="46">
        <f t="shared" si="19"/>
        <v>0</v>
      </c>
      <c r="U109" s="47"/>
      <c r="V109" s="47">
        <v>0</v>
      </c>
      <c r="W109" s="45"/>
      <c r="X109" s="9"/>
      <c r="Y109" s="9"/>
    </row>
    <row r="110" spans="1:28" ht="17" x14ac:dyDescent="0.2">
      <c r="B110" s="50" t="s">
        <v>44</v>
      </c>
      <c r="C110" s="44"/>
      <c r="D110" s="47" t="s">
        <v>40</v>
      </c>
      <c r="E110" s="48" t="e">
        <f>MIN(E108,E109)/MAX(E108,E109)</f>
        <v>#DIV/0!</v>
      </c>
      <c r="F110" s="48">
        <f>MIN(F108,F109)/MAX(F108,F109)</f>
        <v>0.58974358974358976</v>
      </c>
      <c r="G110" s="48">
        <f>MIN(G108,G109)/MAX(G108,G109)</f>
        <v>0.58974358974358976</v>
      </c>
      <c r="H110" s="45"/>
      <c r="I110" s="47" t="s">
        <v>10</v>
      </c>
      <c r="J110" s="46">
        <f t="shared" si="20"/>
        <v>4</v>
      </c>
      <c r="K110" s="47"/>
      <c r="L110" s="47">
        <v>4</v>
      </c>
      <c r="M110" s="44"/>
      <c r="N110" s="47" t="s">
        <v>10</v>
      </c>
      <c r="O110" s="46">
        <f t="shared" si="21"/>
        <v>1</v>
      </c>
      <c r="P110" s="47"/>
      <c r="Q110" s="47">
        <v>1</v>
      </c>
      <c r="R110" s="45"/>
      <c r="S110" s="47" t="s">
        <v>10</v>
      </c>
      <c r="T110" s="46">
        <f t="shared" si="19"/>
        <v>1</v>
      </c>
      <c r="U110" s="47"/>
      <c r="V110" s="47">
        <v>1</v>
      </c>
      <c r="W110" s="45"/>
      <c r="Y110" s="9"/>
    </row>
    <row r="111" spans="1:28" x14ac:dyDescent="0.2">
      <c r="B111" s="52"/>
      <c r="C111" s="9"/>
      <c r="D111" s="49"/>
      <c r="E111" s="49"/>
      <c r="F111" s="49"/>
      <c r="G111" s="49"/>
      <c r="I111" s="47" t="s">
        <v>13</v>
      </c>
      <c r="J111" s="47">
        <f>(SUM(J103:J110))</f>
        <v>39</v>
      </c>
      <c r="K111" s="47">
        <f>(SUM(K103:K110))</f>
        <v>0</v>
      </c>
      <c r="L111" s="47">
        <f>(SUM(L103:L110))</f>
        <v>39</v>
      </c>
      <c r="M111" s="44"/>
      <c r="N111" s="47" t="s">
        <v>13</v>
      </c>
      <c r="O111" s="47">
        <f>(SUM(O103:O110))</f>
        <v>40</v>
      </c>
      <c r="P111" s="47">
        <f>(SUM(P103:P110))</f>
        <v>0</v>
      </c>
      <c r="Q111" s="47">
        <f>(SUM(Q103:Q110))</f>
        <v>40</v>
      </c>
      <c r="R111" s="45"/>
      <c r="S111" s="47" t="s">
        <v>13</v>
      </c>
      <c r="T111" s="47">
        <f>(SUM(T103:T110))</f>
        <v>16</v>
      </c>
      <c r="U111" s="47">
        <f>(SUM(U103:U110))</f>
        <v>0</v>
      </c>
      <c r="V111" s="47">
        <f>(SUM(V103:V110))</f>
        <v>16</v>
      </c>
      <c r="W111" s="45"/>
    </row>
    <row r="112" spans="1:28" x14ac:dyDescent="0.2">
      <c r="B112" s="10"/>
      <c r="C112" s="9"/>
      <c r="I112" s="49"/>
      <c r="J112" s="49"/>
      <c r="K112" s="49"/>
      <c r="L112" s="49"/>
      <c r="M112" s="9"/>
      <c r="N112" s="49"/>
      <c r="O112" s="49"/>
      <c r="P112" s="49"/>
      <c r="Q112" s="49"/>
      <c r="S112" s="49"/>
      <c r="T112" s="49"/>
      <c r="U112" s="49"/>
      <c r="V112" s="49"/>
    </row>
    <row r="113" spans="2:27" ht="17" thickBot="1" x14ac:dyDescent="0.25">
      <c r="B113" s="10"/>
      <c r="C113" s="9"/>
      <c r="D113" s="9"/>
      <c r="E113" s="9"/>
      <c r="F113" s="9"/>
      <c r="G113" s="9"/>
      <c r="H113" s="9"/>
      <c r="I113" s="9"/>
      <c r="J113" s="9"/>
      <c r="K113" s="9"/>
      <c r="L113" s="9"/>
      <c r="M113" s="9"/>
    </row>
    <row r="114" spans="2:27" x14ac:dyDescent="0.2">
      <c r="B114" s="10"/>
      <c r="C114" s="9"/>
      <c r="D114" s="85" t="s">
        <v>51</v>
      </c>
      <c r="E114" s="86"/>
      <c r="F114" s="86"/>
      <c r="G114" s="86"/>
      <c r="H114" s="53"/>
      <c r="I114" s="9"/>
      <c r="J114" s="9"/>
      <c r="K114" s="9"/>
      <c r="L114" s="9"/>
      <c r="M114" s="9"/>
      <c r="N114" s="9"/>
      <c r="O114" s="9"/>
      <c r="P114" s="9"/>
      <c r="Q114" s="9"/>
      <c r="S114" s="9"/>
      <c r="T114" s="9"/>
      <c r="U114" s="9"/>
      <c r="V114" s="9"/>
      <c r="X114" s="9"/>
      <c r="Y114" s="9"/>
      <c r="Z114" s="9"/>
      <c r="AA114" s="9"/>
    </row>
    <row r="115" spans="2:27" ht="17" x14ac:dyDescent="0.2">
      <c r="B115" s="10"/>
      <c r="C115" s="9"/>
      <c r="D115" s="54" t="s">
        <v>38</v>
      </c>
      <c r="E115" s="47" t="s">
        <v>60</v>
      </c>
      <c r="F115" s="46" t="s">
        <v>61</v>
      </c>
      <c r="G115" s="47" t="s">
        <v>43</v>
      </c>
      <c r="H115" s="53"/>
      <c r="M115" s="9"/>
    </row>
    <row r="116" spans="2:27" x14ac:dyDescent="0.2">
      <c r="B116" s="10"/>
      <c r="C116" s="9"/>
      <c r="D116" s="54" t="s">
        <v>16</v>
      </c>
      <c r="E116" s="47">
        <f>SUM(E103,E89,E75,E48,E34,E7)</f>
        <v>259</v>
      </c>
      <c r="F116" s="47">
        <f>SUM(F103,F89,F75,F48,F34,F7)</f>
        <v>431</v>
      </c>
      <c r="G116" s="47">
        <f>SUM(E116:F116)</f>
        <v>690</v>
      </c>
      <c r="H116" s="53"/>
      <c r="I116" s="9"/>
      <c r="J116" s="9"/>
      <c r="K116" s="9"/>
      <c r="L116" s="9"/>
      <c r="M116" s="9"/>
      <c r="N116" s="9"/>
      <c r="O116" s="9"/>
      <c r="P116" s="9"/>
      <c r="Q116" s="9"/>
      <c r="S116" s="9"/>
      <c r="T116" s="9"/>
      <c r="U116" s="9"/>
      <c r="V116" s="9"/>
      <c r="X116" s="9"/>
      <c r="Y116" s="9"/>
      <c r="Z116" s="9"/>
      <c r="AA116" s="9"/>
    </row>
    <row r="117" spans="2:27" x14ac:dyDescent="0.2">
      <c r="B117" s="10"/>
      <c r="C117" s="9"/>
      <c r="D117" s="54" t="s">
        <v>17</v>
      </c>
      <c r="E117" s="47">
        <f>SUM(E104,E90,E76,E49,E35,E8)</f>
        <v>110</v>
      </c>
      <c r="F117" s="47">
        <f>SUM(F104,F90,F76,F49,F35,F8)</f>
        <v>416.8</v>
      </c>
      <c r="G117" s="47">
        <f>SUM(E117:F117)</f>
        <v>526.79999999999995</v>
      </c>
      <c r="H117" s="53"/>
      <c r="I117" s="9"/>
      <c r="J117" s="9"/>
      <c r="K117" s="9"/>
      <c r="L117" s="9"/>
      <c r="M117" s="9"/>
      <c r="N117" s="9"/>
      <c r="O117" s="9"/>
      <c r="P117" s="9"/>
      <c r="Q117" s="9"/>
      <c r="S117" s="9"/>
      <c r="T117" s="9"/>
      <c r="U117" s="9"/>
      <c r="V117" s="9"/>
      <c r="X117" s="9"/>
      <c r="Y117" s="9"/>
      <c r="Z117" s="9"/>
      <c r="AA117" s="9"/>
    </row>
    <row r="118" spans="2:27" x14ac:dyDescent="0.2">
      <c r="B118" s="10"/>
      <c r="C118" s="9"/>
      <c r="D118" s="54" t="s">
        <v>40</v>
      </c>
      <c r="E118" s="48">
        <f>MIN(E116,E117)/MAX(E116,E117)</f>
        <v>0.42471042471042469</v>
      </c>
      <c r="F118" s="48">
        <f>MIN(F116,F117)/MAX(F116,F117)</f>
        <v>0.96705336426914157</v>
      </c>
      <c r="G118" s="48">
        <f>MIN(G116,G117)/MAX(G116,G117)</f>
        <v>0.76347826086956516</v>
      </c>
      <c r="H118" s="45"/>
      <c r="J118" s="9"/>
      <c r="M118" s="9"/>
      <c r="O118" s="9"/>
      <c r="T118" s="9"/>
      <c r="Y118" s="9"/>
    </row>
    <row r="119" spans="2:27" x14ac:dyDescent="0.2">
      <c r="B119" s="10"/>
      <c r="C119" s="9"/>
      <c r="D119" s="54"/>
      <c r="E119" s="47"/>
      <c r="F119" s="47"/>
      <c r="G119" s="47"/>
      <c r="H119" s="53"/>
      <c r="J119" s="9"/>
      <c r="M119" s="9"/>
      <c r="O119" s="9"/>
      <c r="T119" s="9"/>
      <c r="Y119" s="9"/>
    </row>
    <row r="120" spans="2:27" ht="20" customHeight="1" x14ac:dyDescent="0.2">
      <c r="B120" s="10"/>
      <c r="C120" s="9"/>
      <c r="D120" s="54" t="s">
        <v>39</v>
      </c>
      <c r="E120" s="46" t="s">
        <v>63</v>
      </c>
      <c r="F120" s="46" t="s">
        <v>64</v>
      </c>
      <c r="G120" s="47" t="s">
        <v>37</v>
      </c>
      <c r="H120" s="53"/>
      <c r="I120" s="9"/>
      <c r="J120" s="9"/>
      <c r="M120" s="9"/>
      <c r="N120" s="9"/>
      <c r="O120" s="9"/>
      <c r="S120" s="9"/>
      <c r="T120" s="9"/>
      <c r="X120" s="9"/>
      <c r="Y120" s="9"/>
    </row>
    <row r="121" spans="2:27" x14ac:dyDescent="0.2">
      <c r="B121" s="10"/>
      <c r="C121" s="9"/>
      <c r="D121" s="54" t="s">
        <v>16</v>
      </c>
      <c r="E121" s="47">
        <f>SUM(E108,E94,E80,E53,E39,E12)</f>
        <v>169</v>
      </c>
      <c r="F121" s="47">
        <f>SUM(F108,F94,F80,F53,F39,F12)</f>
        <v>227</v>
      </c>
      <c r="G121" s="47">
        <f>SUM(E121:F121)</f>
        <v>396</v>
      </c>
      <c r="H121" s="53"/>
      <c r="I121" s="9"/>
      <c r="J121" s="9"/>
      <c r="M121" s="9"/>
      <c r="N121" s="9"/>
      <c r="O121" s="9"/>
      <c r="S121" s="9"/>
      <c r="T121" s="9"/>
      <c r="X121" s="9"/>
      <c r="Y121" s="9"/>
    </row>
    <row r="122" spans="2:27" x14ac:dyDescent="0.2">
      <c r="D122" s="54" t="s">
        <v>17</v>
      </c>
      <c r="E122" s="47">
        <f>SUM(E109,E95,E81,E54,E40,E13)</f>
        <v>93</v>
      </c>
      <c r="F122" s="47">
        <f>SUM(F109,F95,F81,F54,F40,F13)</f>
        <v>262</v>
      </c>
      <c r="G122" s="47">
        <f>SUM(E122:F122)</f>
        <v>355</v>
      </c>
      <c r="H122" s="53"/>
      <c r="J122" s="9"/>
      <c r="M122" s="9"/>
      <c r="O122" s="9"/>
      <c r="T122" s="9"/>
      <c r="Y122" s="9"/>
    </row>
    <row r="123" spans="2:27" ht="17" thickBot="1" x14ac:dyDescent="0.25">
      <c r="D123" s="54" t="s">
        <v>40</v>
      </c>
      <c r="E123" s="48">
        <f>MIN(E121,E122)/MAX(E121,E122)</f>
        <v>0.55029585798816572</v>
      </c>
      <c r="F123" s="48">
        <f>MIN(F121,F122)/MAX(F121,F122)</f>
        <v>0.86641221374045807</v>
      </c>
      <c r="G123" s="48">
        <f>MIN(G121,G122)/MAX(G121,G122)</f>
        <v>0.89646464646464652</v>
      </c>
      <c r="H123" s="53"/>
      <c r="M123" s="9"/>
    </row>
    <row r="124" spans="2:27" x14ac:dyDescent="0.2">
      <c r="D124" s="55"/>
      <c r="E124" s="55"/>
      <c r="F124" s="55"/>
      <c r="G124" s="55"/>
    </row>
    <row r="127" spans="2:27" x14ac:dyDescent="0.2">
      <c r="I127" s="9"/>
      <c r="J127" s="9"/>
      <c r="K127" s="9"/>
      <c r="L127" s="9"/>
      <c r="M127" s="9"/>
      <c r="N127" s="9"/>
      <c r="O127" s="9"/>
      <c r="P127" s="9"/>
      <c r="Q127" s="9"/>
      <c r="S127" s="9"/>
      <c r="T127" s="9"/>
      <c r="U127" s="9"/>
      <c r="V127" s="9"/>
      <c r="X127" s="9"/>
      <c r="Y127" s="9"/>
      <c r="Z127" s="9"/>
      <c r="AA127" s="9"/>
    </row>
    <row r="128" spans="2:27" x14ac:dyDescent="0.2">
      <c r="M128" s="9"/>
    </row>
    <row r="129" spans="2:27" x14ac:dyDescent="0.2">
      <c r="B129" s="73" t="s">
        <v>5</v>
      </c>
      <c r="F129" s="9"/>
      <c r="I129" s="9"/>
      <c r="J129" s="9"/>
      <c r="K129" s="9"/>
      <c r="L129" s="9"/>
      <c r="M129" s="9"/>
      <c r="N129" s="9"/>
      <c r="O129" s="9"/>
      <c r="P129" s="9"/>
      <c r="Q129" s="9"/>
      <c r="S129" s="9"/>
      <c r="T129" s="9"/>
      <c r="U129" s="9"/>
      <c r="V129" s="9"/>
      <c r="X129" s="9"/>
      <c r="Y129" s="9"/>
      <c r="Z129" s="9"/>
      <c r="AA129" s="9"/>
    </row>
    <row r="130" spans="2:27" x14ac:dyDescent="0.2">
      <c r="B130" s="73" t="s">
        <v>6</v>
      </c>
      <c r="D130" s="11" t="s">
        <v>14</v>
      </c>
      <c r="E130" s="11">
        <v>1</v>
      </c>
      <c r="I130" s="9"/>
      <c r="J130" s="9"/>
      <c r="K130" s="9"/>
      <c r="L130" s="9"/>
      <c r="M130" s="9"/>
      <c r="N130" s="9"/>
      <c r="O130" s="9"/>
      <c r="P130" s="9"/>
      <c r="Q130" s="9"/>
      <c r="S130" s="9"/>
      <c r="T130" s="9"/>
      <c r="U130" s="9"/>
      <c r="V130" s="9"/>
      <c r="X130" s="9"/>
      <c r="Y130" s="9"/>
      <c r="Z130" s="9"/>
      <c r="AA130" s="9"/>
    </row>
    <row r="131" spans="2:27" x14ac:dyDescent="0.2">
      <c r="B131" s="73" t="s">
        <v>7</v>
      </c>
      <c r="D131" s="11" t="s">
        <v>15</v>
      </c>
      <c r="E131" s="11">
        <v>2</v>
      </c>
      <c r="J131" s="9"/>
      <c r="M131" s="9"/>
      <c r="O131" s="9"/>
      <c r="T131" s="9"/>
      <c r="Y131" s="9"/>
    </row>
    <row r="132" spans="2:27" x14ac:dyDescent="0.2">
      <c r="B132" s="73" t="s">
        <v>8</v>
      </c>
      <c r="E132" s="11">
        <v>3</v>
      </c>
      <c r="J132" s="9"/>
      <c r="M132" s="9"/>
      <c r="O132" s="9"/>
      <c r="T132" s="9"/>
      <c r="Y132" s="9"/>
    </row>
    <row r="133" spans="2:27" x14ac:dyDescent="0.2">
      <c r="E133" s="11">
        <v>4</v>
      </c>
      <c r="I133" s="9"/>
      <c r="J133" s="9"/>
      <c r="M133" s="9"/>
      <c r="N133" s="9"/>
      <c r="O133" s="9"/>
      <c r="S133" s="9"/>
      <c r="T133" s="9"/>
      <c r="X133" s="9"/>
      <c r="Y133" s="9"/>
    </row>
    <row r="134" spans="2:27" x14ac:dyDescent="0.2">
      <c r="E134" s="11">
        <v>5</v>
      </c>
      <c r="I134" s="9"/>
      <c r="J134" s="9"/>
      <c r="M134" s="9"/>
      <c r="N134" s="9"/>
      <c r="O134" s="9"/>
      <c r="S134" s="9"/>
      <c r="T134" s="9"/>
      <c r="X134" s="9"/>
      <c r="Y134" s="9"/>
    </row>
    <row r="135" spans="2:27" x14ac:dyDescent="0.2">
      <c r="E135" s="11">
        <v>6</v>
      </c>
      <c r="I135" s="9"/>
      <c r="J135" s="9"/>
      <c r="M135" s="9"/>
      <c r="N135" s="9"/>
      <c r="O135" s="9"/>
      <c r="S135" s="9"/>
      <c r="T135" s="9"/>
      <c r="X135" s="9"/>
      <c r="Y135" s="9"/>
    </row>
    <row r="136" spans="2:27" x14ac:dyDescent="0.2">
      <c r="E136" s="11">
        <v>7</v>
      </c>
      <c r="I136" s="9"/>
      <c r="J136" s="9"/>
      <c r="M136" s="9"/>
      <c r="N136" s="9"/>
      <c r="O136" s="9"/>
      <c r="S136" s="9"/>
      <c r="T136" s="9"/>
      <c r="X136" s="9"/>
      <c r="Y136" s="9"/>
    </row>
    <row r="137" spans="2:27" x14ac:dyDescent="0.2">
      <c r="E137" s="11">
        <v>8</v>
      </c>
      <c r="J137" s="9"/>
      <c r="M137" s="9"/>
      <c r="O137" s="9"/>
      <c r="T137" s="9"/>
      <c r="Y137" s="9"/>
    </row>
    <row r="138" spans="2:27" x14ac:dyDescent="0.2">
      <c r="E138" s="11">
        <v>9</v>
      </c>
      <c r="M138" s="9"/>
    </row>
    <row r="139" spans="2:27" x14ac:dyDescent="0.2">
      <c r="E139" s="11">
        <v>10</v>
      </c>
    </row>
    <row r="140" spans="2:27" x14ac:dyDescent="0.2">
      <c r="E140" s="11">
        <v>11</v>
      </c>
    </row>
    <row r="141" spans="2:27" x14ac:dyDescent="0.2">
      <c r="E141" s="11">
        <v>12</v>
      </c>
    </row>
  </sheetData>
  <mergeCells count="6">
    <mergeCell ref="Z1:AA1"/>
    <mergeCell ref="D114:G114"/>
    <mergeCell ref="B11:B12"/>
    <mergeCell ref="B13:B14"/>
    <mergeCell ref="B41:B42"/>
    <mergeCell ref="B96:B97"/>
  </mergeCells>
  <conditionalFormatting sqref="E9:G9">
    <cfRule type="colorScale" priority="14">
      <colorScale>
        <cfvo type="num" val="0"/>
        <cfvo type="num" val="0.75"/>
        <cfvo type="num" val="1"/>
        <color rgb="FFFF7128"/>
        <color rgb="FFFFEB84"/>
        <color theme="9" tint="-0.249977111117893"/>
      </colorScale>
    </cfRule>
  </conditionalFormatting>
  <conditionalFormatting sqref="E14:G14">
    <cfRule type="colorScale" priority="15">
      <colorScale>
        <cfvo type="num" val="0"/>
        <cfvo type="num" val="0.75"/>
        <cfvo type="num" val="1"/>
        <color rgb="FFFF7128"/>
        <color rgb="FFFFEB84"/>
        <color theme="9" tint="-0.249977111117893"/>
      </colorScale>
    </cfRule>
  </conditionalFormatting>
  <conditionalFormatting sqref="E36:G36">
    <cfRule type="colorScale" priority="12">
      <colorScale>
        <cfvo type="num" val="0"/>
        <cfvo type="num" val="0.75"/>
        <cfvo type="num" val="1"/>
        <color rgb="FFFF7128"/>
        <color rgb="FFFFEB84"/>
        <color theme="9" tint="-0.249977111117893"/>
      </colorScale>
    </cfRule>
  </conditionalFormatting>
  <conditionalFormatting sqref="E41:G41">
    <cfRule type="colorScale" priority="13">
      <colorScale>
        <cfvo type="num" val="0"/>
        <cfvo type="num" val="0.75"/>
        <cfvo type="num" val="1"/>
        <color rgb="FFFF7128"/>
        <color rgb="FFFFEB84"/>
        <color theme="9" tint="-0.249977111117893"/>
      </colorScale>
    </cfRule>
  </conditionalFormatting>
  <conditionalFormatting sqref="E55:G55">
    <cfRule type="colorScale" priority="6">
      <colorScale>
        <cfvo type="num" val="0"/>
        <cfvo type="num" val="0.75"/>
        <cfvo type="num" val="1"/>
        <color rgb="FFFF7128"/>
        <color rgb="FFFFEB84"/>
        <color theme="9" tint="-0.249977111117893"/>
      </colorScale>
    </cfRule>
  </conditionalFormatting>
  <conditionalFormatting sqref="E82:G82">
    <cfRule type="colorScale" priority="5">
      <colorScale>
        <cfvo type="num" val="0"/>
        <cfvo type="num" val="0.75"/>
        <cfvo type="num" val="1"/>
        <color rgb="FFFF7128"/>
        <color rgb="FFFFEB84"/>
        <color theme="9" tint="-0.249977111117893"/>
      </colorScale>
    </cfRule>
  </conditionalFormatting>
  <conditionalFormatting sqref="E91:G91">
    <cfRule type="colorScale" priority="9">
      <colorScale>
        <cfvo type="num" val="0"/>
        <cfvo type="num" val="0.75"/>
        <cfvo type="num" val="1"/>
        <color rgb="FFFF7128"/>
        <color rgb="FFFFEB84"/>
        <color theme="9" tint="-0.249977111117893"/>
      </colorScale>
    </cfRule>
  </conditionalFormatting>
  <conditionalFormatting sqref="E96:G96">
    <cfRule type="colorScale" priority="4">
      <colorScale>
        <cfvo type="num" val="0"/>
        <cfvo type="num" val="0.75"/>
        <cfvo type="num" val="1"/>
        <color rgb="FFFF7128"/>
        <color rgb="FFFFEB84"/>
        <color theme="9" tint="-0.249977111117893"/>
      </colorScale>
    </cfRule>
  </conditionalFormatting>
  <conditionalFormatting sqref="E110:G110">
    <cfRule type="colorScale" priority="3">
      <colorScale>
        <cfvo type="num" val="0"/>
        <cfvo type="num" val="0.75"/>
        <cfvo type="num" val="1"/>
        <color rgb="FFFF7128"/>
        <color rgb="FFFFEB84"/>
        <color theme="9" tint="-0.249977111117893"/>
      </colorScale>
    </cfRule>
  </conditionalFormatting>
  <conditionalFormatting sqref="E118:G118">
    <cfRule type="colorScale" priority="2">
      <colorScale>
        <cfvo type="num" val="0"/>
        <cfvo type="num" val="0.75"/>
        <cfvo type="num" val="1"/>
        <color rgb="FFFF7128"/>
        <color rgb="FFFFEB84"/>
        <color theme="9" tint="-0.249977111117893"/>
      </colorScale>
    </cfRule>
  </conditionalFormatting>
  <conditionalFormatting sqref="E123:G123">
    <cfRule type="colorScale" priority="1">
      <colorScale>
        <cfvo type="num" val="0"/>
        <cfvo type="num" val="0.75"/>
        <cfvo type="num" val="1"/>
        <color rgb="FFFF7128"/>
        <color rgb="FFFFEB84"/>
        <color theme="9" tint="-0.249977111117893"/>
      </colorScale>
    </cfRule>
  </conditionalFormatting>
  <conditionalFormatting sqref="F50:G50">
    <cfRule type="colorScale" priority="11">
      <colorScale>
        <cfvo type="num" val="0"/>
        <cfvo type="num" val="0.75"/>
        <cfvo type="num" val="1"/>
        <color rgb="FFFF7128"/>
        <color rgb="FFFFEB84"/>
        <color theme="9" tint="-0.249977111117893"/>
      </colorScale>
    </cfRule>
  </conditionalFormatting>
  <conditionalFormatting sqref="F77:G77">
    <cfRule type="colorScale" priority="10">
      <colorScale>
        <cfvo type="num" val="0"/>
        <cfvo type="num" val="0.75"/>
        <cfvo type="num" val="1"/>
        <color rgb="FFFF7128"/>
        <color rgb="FFFFEB84"/>
        <color theme="9" tint="-0.249977111117893"/>
      </colorScale>
    </cfRule>
  </conditionalFormatting>
  <conditionalFormatting sqref="F105:G105">
    <cfRule type="colorScale" priority="8">
      <colorScale>
        <cfvo type="num" val="0"/>
        <cfvo type="num" val="0.75"/>
        <cfvo type="num" val="1"/>
        <color rgb="FFFF7128"/>
        <color rgb="FFFFEB84"/>
        <color theme="9" tint="-0.249977111117893"/>
      </colorScale>
    </cfRule>
  </conditionalFormatting>
  <dataValidations count="4">
    <dataValidation type="list" allowBlank="1" showInputMessage="1" showErrorMessage="1" sqref="J59 J101 O101 T101 Y101 J87 O87 T87 Y87 J73 O73 T73 Y73 O18 J18 T5 O5 J128 O128 T128 Y128 J32 O32 T32 Y32 J46 O46 T46 J5 T18 O59" xr:uid="{8F85F861-64C7-B54E-9DF3-4E33EE784321}">
      <formula1>$B$129:$B$132</formula1>
    </dataValidation>
    <dataValidation type="list" allowBlank="1" showInputMessage="1" showErrorMessage="1" sqref="L45 AA100 V100 Q100 L100 AA86 V86 Q86 L86 L72 AA72 V72 Q72 L31 Q17 L17 V4 Q4 L4 AA127 V127 Q127 L127 AA31 V31 Q31 V17 L58 V45 Q45 Q58" xr:uid="{9660F6F2-2058-2745-BD68-20973CB0F523}">
      <formula1>$D$130:$D$131</formula1>
    </dataValidation>
    <dataValidation type="list" allowBlank="1" showInputMessage="1" showErrorMessage="1" sqref="J45 Y100 T100 O100 J100 Y86 T86 O86 J86 Y72 T72 O72 J72 Y127 T127 O127 J127 Y31 T31 O31 J31 J58 T45 O45 O58" xr:uid="{F284E9C1-BD96-944A-B0A7-21D3AA135087}">
      <formula1>$E$130:$E$141</formula1>
    </dataValidation>
    <dataValidation type="list" allowBlank="1" showInputMessage="1" showErrorMessage="1" sqref="O17 T17 J4 O4 T4 J17" xr:uid="{304A673B-BC80-1243-B9F1-99BE9A853242}">
      <formula1>$E$129:$E$140</formula1>
    </dataValidation>
  </dataValidations>
  <pageMargins left="0.7" right="0.7" top="0.78740157499999996" bottom="0.78740157499999996" header="0.3" footer="0.3"/>
  <pageSetup paperSize="9" scale="26"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DB98F-5D1C-D64E-A9F2-EDED4CE70A98}">
  <sheetPr>
    <pageSetUpPr fitToPage="1"/>
  </sheetPr>
  <dimension ref="A1:AB166"/>
  <sheetViews>
    <sheetView topLeftCell="A87" zoomScale="85" zoomScaleNormal="51" zoomScalePageLayoutView="43" workbookViewId="0">
      <selection activeCell="AO36" sqref="AO36"/>
    </sheetView>
  </sheetViews>
  <sheetFormatPr baseColWidth="10" defaultRowHeight="15" outlineLevelRow="1" x14ac:dyDescent="0.2"/>
  <cols>
    <col min="1" max="1" width="14.33203125" style="1" customWidth="1"/>
    <col min="2" max="2" width="10" style="7" customWidth="1"/>
    <col min="3" max="3" width="2.83203125" style="6" customWidth="1"/>
    <col min="4" max="4" width="16" style="6" customWidth="1"/>
    <col min="5" max="5" width="9.1640625" style="6" customWidth="1"/>
    <col min="6" max="6" width="14.83203125" style="6" customWidth="1"/>
    <col min="7" max="7" width="11.5" style="6" customWidth="1"/>
    <col min="8" max="8" width="3.1640625" style="6" customWidth="1"/>
    <col min="9" max="9" width="12.6640625" style="6" customWidth="1"/>
    <col min="10" max="10" width="8" style="6" customWidth="1"/>
    <col min="11" max="11" width="8.5" style="6" customWidth="1"/>
    <col min="12" max="12" width="10.33203125" style="6" customWidth="1"/>
    <col min="13" max="13" width="3.1640625" style="6" customWidth="1"/>
    <col min="14" max="14" width="12.6640625" style="6" customWidth="1"/>
    <col min="15" max="15" width="7.33203125" style="6" customWidth="1"/>
    <col min="16" max="16" width="8.6640625" style="6" customWidth="1"/>
    <col min="17" max="17" width="10.33203125" style="6" customWidth="1"/>
    <col min="18" max="18" width="3" style="6" customWidth="1"/>
    <col min="19" max="19" width="12.6640625" style="6" customWidth="1"/>
    <col min="20" max="20" width="7.33203125" style="6" customWidth="1"/>
    <col min="21" max="21" width="8.6640625" style="6" customWidth="1"/>
    <col min="22" max="22" width="10.5" style="6" customWidth="1"/>
    <col min="23" max="23" width="2.6640625" style="6" customWidth="1"/>
    <col min="24" max="24" width="12.33203125" style="6" customWidth="1"/>
    <col min="25" max="25" width="7.33203125" style="6" customWidth="1"/>
    <col min="26" max="26" width="8.33203125" style="6" customWidth="1"/>
    <col min="27" max="27" width="11" style="6" customWidth="1"/>
    <col min="28" max="28" width="3.1640625" style="6" customWidth="1"/>
    <col min="29" max="29" width="12.6640625" style="6" customWidth="1"/>
    <col min="30" max="30" width="7.1640625" style="6" customWidth="1"/>
    <col min="31" max="31" width="8" style="6" customWidth="1"/>
    <col min="32" max="32" width="10.33203125" style="6" customWidth="1"/>
    <col min="33" max="33" width="3.1640625" style="6" customWidth="1"/>
    <col min="34" max="34" width="14" style="6" customWidth="1"/>
    <col min="35" max="35" width="7.1640625" style="6" customWidth="1"/>
    <col min="36" max="36" width="7.5" style="6" customWidth="1"/>
    <col min="37" max="37" width="10.33203125" style="6" customWidth="1"/>
    <col min="38" max="38" width="3.1640625" style="6" customWidth="1"/>
    <col min="39" max="39" width="13.6640625" style="6" customWidth="1"/>
    <col min="40" max="40" width="7.33203125" style="6" customWidth="1"/>
    <col min="41" max="41" width="7.6640625" style="6" customWidth="1"/>
    <col min="42" max="42" width="10.5" style="6" customWidth="1"/>
    <col min="43" max="16384" width="10.83203125" style="6"/>
  </cols>
  <sheetData>
    <row r="1" spans="1:28" ht="30" customHeight="1" x14ac:dyDescent="0.2">
      <c r="A1" s="32" t="s">
        <v>0</v>
      </c>
      <c r="B1" s="40" t="s">
        <v>68</v>
      </c>
      <c r="C1" s="32"/>
      <c r="D1" s="32"/>
      <c r="E1" s="32"/>
      <c r="F1" s="32"/>
      <c r="G1" s="32"/>
      <c r="H1" s="32"/>
      <c r="I1" s="60"/>
      <c r="J1" s="32"/>
      <c r="K1" s="32"/>
      <c r="L1" s="32"/>
      <c r="M1" s="32"/>
      <c r="N1" s="32"/>
      <c r="O1" s="32"/>
      <c r="P1" s="32"/>
      <c r="Q1" s="32"/>
      <c r="R1" s="32"/>
      <c r="S1" s="32"/>
      <c r="T1" s="32"/>
      <c r="U1" s="32"/>
      <c r="V1" s="32"/>
      <c r="W1" s="32"/>
      <c r="X1" s="32"/>
      <c r="Y1" s="32"/>
      <c r="Z1" s="76" t="s">
        <v>85</v>
      </c>
      <c r="AA1" s="76"/>
    </row>
    <row r="2" spans="1:28" ht="30" customHeight="1" x14ac:dyDescent="0.2">
      <c r="B2" s="2"/>
      <c r="C2" s="1"/>
      <c r="D2" s="1"/>
      <c r="E2" s="1"/>
      <c r="F2" s="1"/>
      <c r="G2" s="1"/>
      <c r="H2" s="1"/>
      <c r="I2" s="1"/>
      <c r="J2" s="1"/>
      <c r="K2" s="1"/>
      <c r="L2" s="1"/>
      <c r="M2" s="1"/>
    </row>
    <row r="3" spans="1:28" ht="16" customHeight="1" outlineLevel="1" x14ac:dyDescent="0.2">
      <c r="A3" s="1" t="s">
        <v>31</v>
      </c>
      <c r="B3" s="2">
        <v>33</v>
      </c>
      <c r="I3" s="20" t="s">
        <v>77</v>
      </c>
      <c r="J3" s="20">
        <v>1</v>
      </c>
      <c r="K3" s="20" t="s">
        <v>12</v>
      </c>
      <c r="L3" s="20" t="s">
        <v>15</v>
      </c>
      <c r="M3" s="33"/>
      <c r="N3" s="20" t="s">
        <v>77</v>
      </c>
      <c r="O3" s="20">
        <v>2</v>
      </c>
      <c r="P3" s="20" t="s">
        <v>12</v>
      </c>
      <c r="Q3" s="20" t="s">
        <v>15</v>
      </c>
      <c r="R3" s="21"/>
      <c r="S3" s="20" t="s">
        <v>77</v>
      </c>
      <c r="T3" s="20">
        <v>3</v>
      </c>
      <c r="U3" s="20" t="s">
        <v>12</v>
      </c>
      <c r="V3" s="20" t="s">
        <v>14</v>
      </c>
      <c r="W3" s="21"/>
      <c r="X3" s="20" t="s">
        <v>77</v>
      </c>
      <c r="Y3" s="20">
        <v>4</v>
      </c>
      <c r="Z3" s="20" t="s">
        <v>12</v>
      </c>
      <c r="AA3" s="20" t="s">
        <v>14</v>
      </c>
      <c r="AB3" s="21"/>
    </row>
    <row r="4" spans="1:28" outlineLevel="1" x14ac:dyDescent="0.2">
      <c r="I4" s="19" t="s">
        <v>11</v>
      </c>
      <c r="J4" s="35" t="s">
        <v>5</v>
      </c>
      <c r="K4" s="19"/>
      <c r="L4" s="19"/>
      <c r="M4" s="33"/>
      <c r="N4" s="19" t="s">
        <v>11</v>
      </c>
      <c r="O4" s="35" t="s">
        <v>6</v>
      </c>
      <c r="P4" s="19"/>
      <c r="Q4" s="19"/>
      <c r="R4" s="21"/>
      <c r="S4" s="19" t="s">
        <v>11</v>
      </c>
      <c r="T4" s="35" t="s">
        <v>7</v>
      </c>
      <c r="U4" s="19"/>
      <c r="V4" s="19"/>
      <c r="W4" s="21"/>
      <c r="X4" s="19" t="s">
        <v>11</v>
      </c>
      <c r="Y4" s="35" t="s">
        <v>8</v>
      </c>
      <c r="Z4" s="19"/>
      <c r="AA4" s="19"/>
      <c r="AB4" s="21"/>
    </row>
    <row r="5" spans="1:28" ht="13" customHeight="1" outlineLevel="1" x14ac:dyDescent="0.2">
      <c r="D5" s="19"/>
      <c r="E5" s="19" t="s">
        <v>60</v>
      </c>
      <c r="F5" s="20" t="s">
        <v>61</v>
      </c>
      <c r="G5" s="19" t="s">
        <v>43</v>
      </c>
      <c r="H5" s="21"/>
      <c r="I5" s="20" t="s">
        <v>9</v>
      </c>
      <c r="J5" s="20" t="s">
        <v>66</v>
      </c>
      <c r="K5" s="20" t="s">
        <v>60</v>
      </c>
      <c r="L5" s="20" t="s">
        <v>62</v>
      </c>
      <c r="M5" s="33"/>
      <c r="N5" s="20" t="s">
        <v>9</v>
      </c>
      <c r="O5" s="20" t="s">
        <v>66</v>
      </c>
      <c r="P5" s="20" t="s">
        <v>60</v>
      </c>
      <c r="Q5" s="20" t="s">
        <v>62</v>
      </c>
      <c r="R5" s="21"/>
      <c r="S5" s="20" t="s">
        <v>9</v>
      </c>
      <c r="T5" s="20" t="s">
        <v>66</v>
      </c>
      <c r="U5" s="20" t="s">
        <v>60</v>
      </c>
      <c r="V5" s="20" t="s">
        <v>62</v>
      </c>
      <c r="W5" s="21"/>
      <c r="X5" s="20" t="s">
        <v>9</v>
      </c>
      <c r="Y5" s="20" t="s">
        <v>66</v>
      </c>
      <c r="Z5" s="20" t="s">
        <v>60</v>
      </c>
      <c r="AA5" s="20" t="s">
        <v>62</v>
      </c>
      <c r="AB5" s="21"/>
    </row>
    <row r="6" spans="1:28" outlineLevel="1" x14ac:dyDescent="0.2">
      <c r="D6" s="19" t="s">
        <v>16</v>
      </c>
      <c r="E6" s="19">
        <f>SUM(K14,P14,U14,Z14)</f>
        <v>0</v>
      </c>
      <c r="F6" s="19">
        <f>SUM(L14,Q14,V14,AA14)</f>
        <v>80</v>
      </c>
      <c r="G6" s="19">
        <f>SUM(E6:F6)</f>
        <v>80</v>
      </c>
      <c r="H6" s="21"/>
      <c r="I6" s="20">
        <v>1</v>
      </c>
      <c r="J6" s="20">
        <f>SUM(K6,L6)</f>
        <v>4</v>
      </c>
      <c r="K6" s="20">
        <v>0</v>
      </c>
      <c r="L6" s="20">
        <v>4</v>
      </c>
      <c r="M6" s="33"/>
      <c r="N6" s="20">
        <v>1</v>
      </c>
      <c r="O6" s="20">
        <f>SUM(P6,Q6)</f>
        <v>4</v>
      </c>
      <c r="P6" s="20">
        <v>0</v>
      </c>
      <c r="Q6" s="20">
        <v>4</v>
      </c>
      <c r="R6" s="21"/>
      <c r="S6" s="20">
        <v>1</v>
      </c>
      <c r="T6" s="20">
        <f>SUM(U6,V6)</f>
        <v>2</v>
      </c>
      <c r="U6" s="20">
        <v>0</v>
      </c>
      <c r="V6" s="20">
        <v>2</v>
      </c>
      <c r="W6" s="21"/>
      <c r="X6" s="20">
        <v>1</v>
      </c>
      <c r="Y6" s="20">
        <f>SUM(Z6,AA6)</f>
        <v>1</v>
      </c>
      <c r="Z6" s="20">
        <v>0</v>
      </c>
      <c r="AA6" s="20">
        <v>1</v>
      </c>
      <c r="AB6" s="21"/>
    </row>
    <row r="7" spans="1:28" outlineLevel="1" x14ac:dyDescent="0.2">
      <c r="B7" s="84" t="s">
        <v>67</v>
      </c>
      <c r="C7" s="21"/>
      <c r="D7" s="19" t="s">
        <v>17</v>
      </c>
      <c r="E7" s="19">
        <v>5</v>
      </c>
      <c r="F7" s="19">
        <v>86</v>
      </c>
      <c r="G7" s="19">
        <f>SUM(E7:F7)</f>
        <v>91</v>
      </c>
      <c r="H7" s="21"/>
      <c r="I7" s="19">
        <v>2</v>
      </c>
      <c r="J7" s="20">
        <f t="shared" ref="J7:J13" si="0">SUM(K7,L7)</f>
        <v>9</v>
      </c>
      <c r="K7" s="19">
        <v>0</v>
      </c>
      <c r="L7" s="19">
        <v>9</v>
      </c>
      <c r="M7" s="33"/>
      <c r="N7" s="19">
        <v>2</v>
      </c>
      <c r="O7" s="20">
        <f t="shared" ref="O7:O13" si="1">SUM(P7,Q7)</f>
        <v>7</v>
      </c>
      <c r="P7" s="19">
        <v>0</v>
      </c>
      <c r="Q7" s="19">
        <v>7</v>
      </c>
      <c r="R7" s="21"/>
      <c r="S7" s="19">
        <v>2</v>
      </c>
      <c r="T7" s="20">
        <f t="shared" ref="T7:T13" si="2">SUM(U7,V7)</f>
        <v>3</v>
      </c>
      <c r="U7" s="19">
        <v>0</v>
      </c>
      <c r="V7" s="19">
        <v>3</v>
      </c>
      <c r="W7" s="21"/>
      <c r="X7" s="19">
        <v>2</v>
      </c>
      <c r="Y7" s="20">
        <f t="shared" ref="Y7:Y13" si="3">SUM(Z7,AA7)</f>
        <v>2</v>
      </c>
      <c r="Z7" s="19">
        <v>0</v>
      </c>
      <c r="AA7" s="19">
        <v>2</v>
      </c>
      <c r="AB7" s="21"/>
    </row>
    <row r="8" spans="1:28" outlineLevel="1" x14ac:dyDescent="0.2">
      <c r="B8" s="84"/>
      <c r="C8" s="21"/>
      <c r="D8" s="19" t="s">
        <v>40</v>
      </c>
      <c r="E8" s="22">
        <f>MIN(E6,E7)/MAX(E6,E7)</f>
        <v>0</v>
      </c>
      <c r="F8" s="22">
        <f>MIN(F6,F7)/MAX(F6,F7)</f>
        <v>0.93023255813953487</v>
      </c>
      <c r="G8" s="22">
        <f>MIN(G6,G7)/MAX(G6,G7)</f>
        <v>0.87912087912087911</v>
      </c>
      <c r="H8" s="21"/>
      <c r="I8" s="19">
        <v>3</v>
      </c>
      <c r="J8" s="20">
        <f t="shared" si="0"/>
        <v>9</v>
      </c>
      <c r="K8" s="19">
        <v>0</v>
      </c>
      <c r="L8" s="19">
        <v>9</v>
      </c>
      <c r="M8" s="33"/>
      <c r="N8" s="19">
        <v>3</v>
      </c>
      <c r="O8" s="20">
        <f t="shared" si="1"/>
        <v>7</v>
      </c>
      <c r="P8" s="19">
        <v>0</v>
      </c>
      <c r="Q8" s="19">
        <v>7</v>
      </c>
      <c r="R8" s="21"/>
      <c r="S8" s="19">
        <v>3</v>
      </c>
      <c r="T8" s="20">
        <f t="shared" si="2"/>
        <v>3</v>
      </c>
      <c r="U8" s="19">
        <v>0</v>
      </c>
      <c r="V8" s="19">
        <v>3</v>
      </c>
      <c r="W8" s="21"/>
      <c r="X8" s="19">
        <v>3</v>
      </c>
      <c r="Y8" s="20">
        <f t="shared" si="3"/>
        <v>2</v>
      </c>
      <c r="Z8" s="19">
        <v>0</v>
      </c>
      <c r="AA8" s="19">
        <v>2</v>
      </c>
      <c r="AB8" s="21"/>
    </row>
    <row r="9" spans="1:28" outlineLevel="1" x14ac:dyDescent="0.2">
      <c r="B9" s="37"/>
      <c r="D9" s="38"/>
      <c r="E9" s="38"/>
      <c r="F9" s="38"/>
      <c r="G9" s="38"/>
      <c r="I9" s="20">
        <v>4</v>
      </c>
      <c r="J9" s="20">
        <f t="shared" si="0"/>
        <v>7</v>
      </c>
      <c r="K9" s="19">
        <v>0</v>
      </c>
      <c r="L9" s="19">
        <v>7</v>
      </c>
      <c r="M9" s="33"/>
      <c r="N9" s="20">
        <v>4</v>
      </c>
      <c r="O9" s="20">
        <f t="shared" si="1"/>
        <v>7</v>
      </c>
      <c r="P9" s="19">
        <v>0</v>
      </c>
      <c r="Q9" s="19">
        <v>7</v>
      </c>
      <c r="R9" s="21"/>
      <c r="S9" s="20">
        <v>4</v>
      </c>
      <c r="T9" s="20">
        <f t="shared" si="2"/>
        <v>3</v>
      </c>
      <c r="U9" s="19">
        <v>0</v>
      </c>
      <c r="V9" s="19">
        <v>3</v>
      </c>
      <c r="W9" s="21"/>
      <c r="X9" s="20">
        <v>4</v>
      </c>
      <c r="Y9" s="20">
        <f t="shared" si="3"/>
        <v>2</v>
      </c>
      <c r="Z9" s="19">
        <v>0</v>
      </c>
      <c r="AA9" s="19">
        <v>2</v>
      </c>
      <c r="AB9" s="21"/>
    </row>
    <row r="10" spans="1:28" ht="17" customHeight="1" outlineLevel="1" x14ac:dyDescent="0.2">
      <c r="D10" s="19" t="s">
        <v>0</v>
      </c>
      <c r="E10" s="20" t="s">
        <v>63</v>
      </c>
      <c r="F10" s="20" t="s">
        <v>64</v>
      </c>
      <c r="G10" s="19" t="s">
        <v>37</v>
      </c>
      <c r="H10" s="21"/>
      <c r="I10" s="20">
        <v>5</v>
      </c>
      <c r="J10" s="20">
        <f t="shared" si="0"/>
        <v>0</v>
      </c>
      <c r="K10" s="19">
        <v>0</v>
      </c>
      <c r="L10" s="19">
        <v>0</v>
      </c>
      <c r="M10" s="33"/>
      <c r="N10" s="20">
        <v>5</v>
      </c>
      <c r="O10" s="20">
        <f t="shared" si="1"/>
        <v>0</v>
      </c>
      <c r="P10" s="19">
        <v>0</v>
      </c>
      <c r="Q10" s="19">
        <v>0</v>
      </c>
      <c r="R10" s="21"/>
      <c r="S10" s="20">
        <v>5</v>
      </c>
      <c r="T10" s="20">
        <f t="shared" si="2"/>
        <v>3</v>
      </c>
      <c r="U10" s="19">
        <v>0</v>
      </c>
      <c r="V10" s="19">
        <v>3</v>
      </c>
      <c r="W10" s="21"/>
      <c r="X10" s="20">
        <v>5</v>
      </c>
      <c r="Y10" s="20">
        <f t="shared" si="3"/>
        <v>1</v>
      </c>
      <c r="Z10" s="19">
        <v>0</v>
      </c>
      <c r="AA10" s="19">
        <v>1</v>
      </c>
      <c r="AB10" s="21"/>
    </row>
    <row r="11" spans="1:28" outlineLevel="1" x14ac:dyDescent="0.2">
      <c r="D11" s="19" t="s">
        <v>16</v>
      </c>
      <c r="E11" s="19">
        <f>SUM(P14,K14)</f>
        <v>0</v>
      </c>
      <c r="F11" s="19">
        <f>SUM(Q14,L14)</f>
        <v>58</v>
      </c>
      <c r="G11" s="19">
        <f>SUM(E11:F11)</f>
        <v>58</v>
      </c>
      <c r="H11" s="21"/>
      <c r="I11" s="20">
        <v>6</v>
      </c>
      <c r="J11" s="20">
        <f t="shared" si="0"/>
        <v>0</v>
      </c>
      <c r="K11" s="19">
        <v>0</v>
      </c>
      <c r="L11" s="19">
        <v>0</v>
      </c>
      <c r="M11" s="33"/>
      <c r="N11" s="20">
        <v>6</v>
      </c>
      <c r="O11" s="20">
        <f t="shared" si="1"/>
        <v>0</v>
      </c>
      <c r="P11" s="19">
        <v>0</v>
      </c>
      <c r="Q11" s="19">
        <v>0</v>
      </c>
      <c r="R11" s="21"/>
      <c r="S11" s="20">
        <v>6</v>
      </c>
      <c r="T11" s="20">
        <f t="shared" si="2"/>
        <v>0</v>
      </c>
      <c r="U11" s="19">
        <v>0</v>
      </c>
      <c r="V11" s="19">
        <v>0</v>
      </c>
      <c r="W11" s="21"/>
      <c r="X11" s="20">
        <v>6</v>
      </c>
      <c r="Y11" s="20">
        <f t="shared" si="3"/>
        <v>0</v>
      </c>
      <c r="Z11" s="19">
        <v>0</v>
      </c>
      <c r="AA11" s="19">
        <v>0</v>
      </c>
      <c r="AB11" s="21"/>
    </row>
    <row r="12" spans="1:28" outlineLevel="1" x14ac:dyDescent="0.2">
      <c r="D12" s="19" t="s">
        <v>17</v>
      </c>
      <c r="E12" s="19">
        <v>3</v>
      </c>
      <c r="F12" s="19">
        <v>53</v>
      </c>
      <c r="G12" s="19">
        <f>SUM(E12:F12)</f>
        <v>56</v>
      </c>
      <c r="H12" s="21"/>
      <c r="I12" s="20">
        <v>7</v>
      </c>
      <c r="J12" s="20">
        <f t="shared" si="0"/>
        <v>0</v>
      </c>
      <c r="K12" s="19">
        <v>0</v>
      </c>
      <c r="L12" s="19">
        <v>0</v>
      </c>
      <c r="M12" s="33"/>
      <c r="N12" s="20">
        <v>7</v>
      </c>
      <c r="O12" s="20">
        <f t="shared" si="1"/>
        <v>0</v>
      </c>
      <c r="P12" s="19">
        <v>0</v>
      </c>
      <c r="Q12" s="19">
        <v>0</v>
      </c>
      <c r="R12" s="21"/>
      <c r="S12" s="20">
        <v>7</v>
      </c>
      <c r="T12" s="20">
        <f t="shared" si="2"/>
        <v>0</v>
      </c>
      <c r="U12" s="19">
        <v>0</v>
      </c>
      <c r="V12" s="19">
        <v>0</v>
      </c>
      <c r="W12" s="21"/>
      <c r="X12" s="20">
        <v>7</v>
      </c>
      <c r="Y12" s="20">
        <f t="shared" si="3"/>
        <v>0</v>
      </c>
      <c r="Z12" s="19">
        <v>0</v>
      </c>
      <c r="AA12" s="19">
        <v>0</v>
      </c>
      <c r="AB12" s="21"/>
    </row>
    <row r="13" spans="1:28" outlineLevel="1" x14ac:dyDescent="0.2">
      <c r="D13" s="19" t="s">
        <v>40</v>
      </c>
      <c r="E13" s="22">
        <f>MIN(E11,E12)/MAX(E11,E12)</f>
        <v>0</v>
      </c>
      <c r="F13" s="22">
        <f>MIN(F11,F12)/MAX(F11,F12)</f>
        <v>0.91379310344827591</v>
      </c>
      <c r="G13" s="22">
        <f>MIN(G11,G12)/MAX(G11,G12)</f>
        <v>0.96551724137931039</v>
      </c>
      <c r="H13" s="21"/>
      <c r="I13" s="19" t="s">
        <v>10</v>
      </c>
      <c r="J13" s="20">
        <f t="shared" si="0"/>
        <v>2</v>
      </c>
      <c r="K13" s="19">
        <v>0</v>
      </c>
      <c r="L13" s="19">
        <v>2</v>
      </c>
      <c r="M13" s="33"/>
      <c r="N13" s="19" t="s">
        <v>10</v>
      </c>
      <c r="O13" s="20">
        <f t="shared" si="1"/>
        <v>2</v>
      </c>
      <c r="P13" s="19">
        <v>0</v>
      </c>
      <c r="Q13" s="19">
        <v>2</v>
      </c>
      <c r="R13" s="21"/>
      <c r="S13" s="19" t="s">
        <v>10</v>
      </c>
      <c r="T13" s="20">
        <f t="shared" si="2"/>
        <v>0</v>
      </c>
      <c r="U13" s="19">
        <v>0</v>
      </c>
      <c r="V13" s="19">
        <v>0</v>
      </c>
      <c r="W13" s="21"/>
      <c r="X13" s="19" t="s">
        <v>10</v>
      </c>
      <c r="Y13" s="20">
        <f t="shared" si="3"/>
        <v>0</v>
      </c>
      <c r="Z13" s="19">
        <v>0</v>
      </c>
      <c r="AA13" s="19">
        <v>0</v>
      </c>
      <c r="AB13" s="21"/>
    </row>
    <row r="14" spans="1:28" outlineLevel="1" x14ac:dyDescent="0.2">
      <c r="D14" s="38"/>
      <c r="E14" s="38"/>
      <c r="F14" s="38"/>
      <c r="G14" s="38"/>
      <c r="I14" s="16" t="s">
        <v>13</v>
      </c>
      <c r="J14" s="16">
        <f>(SUM(J6:J13))</f>
        <v>31</v>
      </c>
      <c r="K14" s="16">
        <f>(SUM(K6:K13))</f>
        <v>0</v>
      </c>
      <c r="L14" s="16">
        <f>(SUM(L6:L13))</f>
        <v>31</v>
      </c>
      <c r="M14" s="17"/>
      <c r="N14" s="16" t="s">
        <v>13</v>
      </c>
      <c r="O14" s="16">
        <f>(SUM(O6:O13))</f>
        <v>27</v>
      </c>
      <c r="P14" s="16">
        <f>(SUM(P6:P13))</f>
        <v>0</v>
      </c>
      <c r="Q14" s="16">
        <f>(SUM(Q6:Q13))</f>
        <v>27</v>
      </c>
      <c r="S14" s="16" t="s">
        <v>13</v>
      </c>
      <c r="T14" s="16">
        <f>(SUM(T6:T13))</f>
        <v>14</v>
      </c>
      <c r="U14" s="16">
        <f>(SUM(U6:U13))</f>
        <v>0</v>
      </c>
      <c r="V14" s="16">
        <f>(SUM(V6:V13))</f>
        <v>14</v>
      </c>
      <c r="W14" s="16"/>
      <c r="X14" s="16" t="s">
        <v>13</v>
      </c>
      <c r="Y14" s="16">
        <f>(SUM(Y6:Y13))</f>
        <v>8</v>
      </c>
      <c r="Z14" s="16">
        <f>(SUM(Z6:Z13))</f>
        <v>0</v>
      </c>
      <c r="AA14" s="16">
        <f>(SUM(AA6:AA13))</f>
        <v>8</v>
      </c>
      <c r="AB14" s="21"/>
    </row>
    <row r="15" spans="1:28" outlineLevel="1" x14ac:dyDescent="0.2">
      <c r="M15" s="1"/>
    </row>
    <row r="16" spans="1:28" x14ac:dyDescent="0.2">
      <c r="B16" s="2"/>
      <c r="C16" s="1"/>
      <c r="D16" s="1"/>
      <c r="E16" s="1"/>
      <c r="F16" s="1"/>
      <c r="G16" s="1"/>
      <c r="H16" s="1"/>
      <c r="I16" s="1"/>
      <c r="J16" s="1"/>
      <c r="K16" s="1"/>
      <c r="L16" s="1"/>
      <c r="M16" s="1"/>
    </row>
    <row r="17" spans="1:28" ht="15" customHeight="1" x14ac:dyDescent="0.2">
      <c r="A17" s="1" t="s">
        <v>32</v>
      </c>
      <c r="B17" s="2" t="s">
        <v>33</v>
      </c>
      <c r="C17" s="1"/>
      <c r="I17" s="20" t="s">
        <v>77</v>
      </c>
      <c r="J17" s="20">
        <v>1</v>
      </c>
      <c r="K17" s="20" t="s">
        <v>12</v>
      </c>
      <c r="L17" s="20" t="s">
        <v>15</v>
      </c>
      <c r="M17" s="33"/>
      <c r="N17" s="20" t="s">
        <v>77</v>
      </c>
      <c r="O17" s="20">
        <v>2</v>
      </c>
      <c r="P17" s="20" t="s">
        <v>12</v>
      </c>
      <c r="Q17" s="20" t="s">
        <v>14</v>
      </c>
      <c r="R17" s="21"/>
      <c r="S17" s="20" t="s">
        <v>77</v>
      </c>
      <c r="T17" s="20">
        <v>3</v>
      </c>
      <c r="U17" s="20" t="s">
        <v>12</v>
      </c>
      <c r="V17" s="20" t="s">
        <v>14</v>
      </c>
      <c r="W17" s="21"/>
      <c r="X17" s="20" t="s">
        <v>77</v>
      </c>
      <c r="Y17" s="20">
        <v>4</v>
      </c>
      <c r="Z17" s="20" t="s">
        <v>12</v>
      </c>
      <c r="AA17" s="20" t="s">
        <v>14</v>
      </c>
      <c r="AB17" s="21"/>
    </row>
    <row r="18" spans="1:28" outlineLevel="1" x14ac:dyDescent="0.2">
      <c r="B18" s="2"/>
      <c r="C18" s="1"/>
      <c r="I18" s="19" t="s">
        <v>11</v>
      </c>
      <c r="J18" s="35" t="s">
        <v>6</v>
      </c>
      <c r="K18" s="19"/>
      <c r="L18" s="19"/>
      <c r="M18" s="33"/>
      <c r="N18" s="19" t="s">
        <v>11</v>
      </c>
      <c r="O18" s="35" t="s">
        <v>8</v>
      </c>
      <c r="P18" s="19"/>
      <c r="Q18" s="19"/>
      <c r="R18" s="21"/>
      <c r="S18" s="19" t="s">
        <v>11</v>
      </c>
      <c r="T18" s="35" t="s">
        <v>7</v>
      </c>
      <c r="U18" s="19"/>
      <c r="V18" s="19"/>
      <c r="W18" s="21"/>
      <c r="X18" s="19" t="s">
        <v>11</v>
      </c>
      <c r="Y18" s="35" t="s">
        <v>5</v>
      </c>
      <c r="Z18" s="19"/>
      <c r="AA18" s="19"/>
      <c r="AB18" s="21"/>
    </row>
    <row r="19" spans="1:28" ht="13" customHeight="1" outlineLevel="1" x14ac:dyDescent="0.2">
      <c r="B19" s="2"/>
      <c r="C19" s="1"/>
      <c r="D19" s="19"/>
      <c r="E19" s="19" t="s">
        <v>60</v>
      </c>
      <c r="F19" s="20" t="s">
        <v>61</v>
      </c>
      <c r="G19" s="19" t="s">
        <v>43</v>
      </c>
      <c r="H19" s="21"/>
      <c r="I19" s="20" t="s">
        <v>9</v>
      </c>
      <c r="J19" s="20" t="s">
        <v>66</v>
      </c>
      <c r="K19" s="20" t="s">
        <v>60</v>
      </c>
      <c r="L19" s="20" t="s">
        <v>62</v>
      </c>
      <c r="M19" s="33"/>
      <c r="N19" s="20" t="s">
        <v>9</v>
      </c>
      <c r="O19" s="20" t="s">
        <v>66</v>
      </c>
      <c r="P19" s="20" t="s">
        <v>60</v>
      </c>
      <c r="Q19" s="20" t="s">
        <v>62</v>
      </c>
      <c r="R19" s="21"/>
      <c r="S19" s="20" t="s">
        <v>9</v>
      </c>
      <c r="T19" s="20" t="s">
        <v>66</v>
      </c>
      <c r="U19" s="20" t="s">
        <v>60</v>
      </c>
      <c r="V19" s="20" t="s">
        <v>62</v>
      </c>
      <c r="W19" s="21"/>
      <c r="X19" s="20" t="s">
        <v>9</v>
      </c>
      <c r="Y19" s="20" t="s">
        <v>66</v>
      </c>
      <c r="Z19" s="20" t="s">
        <v>60</v>
      </c>
      <c r="AA19" s="20" t="s">
        <v>62</v>
      </c>
      <c r="AB19" s="21"/>
    </row>
    <row r="20" spans="1:28" outlineLevel="1" x14ac:dyDescent="0.2">
      <c r="B20" s="2"/>
      <c r="C20" s="1"/>
      <c r="D20" s="19" t="s">
        <v>16</v>
      </c>
      <c r="E20" s="19">
        <f>SUM(K28,P28,U28,Z28,K41,P41)</f>
        <v>0</v>
      </c>
      <c r="F20" s="19">
        <f>SUM(L28,Q28,V28,AA28,L41,Q41)</f>
        <v>260</v>
      </c>
      <c r="G20" s="19">
        <f>SUM(E20:F20)</f>
        <v>260</v>
      </c>
      <c r="H20" s="21"/>
      <c r="I20" s="20">
        <v>1</v>
      </c>
      <c r="J20" s="20">
        <f>SUM(K20,L20)</f>
        <v>8</v>
      </c>
      <c r="K20" s="20">
        <v>0</v>
      </c>
      <c r="L20" s="20">
        <v>8</v>
      </c>
      <c r="M20" s="33"/>
      <c r="N20" s="20">
        <v>1</v>
      </c>
      <c r="O20" s="20">
        <f>SUM(P20,Q20)</f>
        <v>1</v>
      </c>
      <c r="P20" s="20">
        <v>0</v>
      </c>
      <c r="Q20" s="20">
        <v>1</v>
      </c>
      <c r="R20" s="21"/>
      <c r="S20" s="20">
        <v>1</v>
      </c>
      <c r="T20" s="20">
        <f>SUM(U20,V20)</f>
        <v>9</v>
      </c>
      <c r="U20" s="20">
        <v>0</v>
      </c>
      <c r="V20" s="20">
        <v>9</v>
      </c>
      <c r="W20" s="21"/>
      <c r="X20" s="20">
        <v>1</v>
      </c>
      <c r="Y20" s="20">
        <f>SUM(Z20,AA20)</f>
        <v>1</v>
      </c>
      <c r="Z20" s="20">
        <v>0</v>
      </c>
      <c r="AA20" s="20">
        <v>1</v>
      </c>
      <c r="AB20" s="21"/>
    </row>
    <row r="21" spans="1:28" outlineLevel="1" x14ac:dyDescent="0.2">
      <c r="B21" s="2"/>
      <c r="C21" s="1"/>
      <c r="D21" s="19" t="s">
        <v>17</v>
      </c>
      <c r="E21" s="19">
        <v>0</v>
      </c>
      <c r="F21" s="19">
        <v>267</v>
      </c>
      <c r="G21" s="19">
        <f>SUM(E21:F21)</f>
        <v>267</v>
      </c>
      <c r="H21" s="21"/>
      <c r="I21" s="19">
        <v>2</v>
      </c>
      <c r="J21" s="20">
        <f t="shared" ref="J21:J27" si="4">SUM(K21,L21)</f>
        <v>11</v>
      </c>
      <c r="K21" s="19">
        <v>0</v>
      </c>
      <c r="L21" s="19">
        <v>11</v>
      </c>
      <c r="M21" s="33"/>
      <c r="N21" s="19">
        <v>2</v>
      </c>
      <c r="O21" s="20">
        <f t="shared" ref="O21:O27" si="5">SUM(P21,Q21)</f>
        <v>1</v>
      </c>
      <c r="P21" s="19">
        <v>0</v>
      </c>
      <c r="Q21" s="19">
        <v>1</v>
      </c>
      <c r="R21" s="21"/>
      <c r="S21" s="19">
        <v>2</v>
      </c>
      <c r="T21" s="20">
        <f t="shared" ref="T21:T27" si="6">SUM(U21,V21)</f>
        <v>12</v>
      </c>
      <c r="U21" s="19">
        <v>0</v>
      </c>
      <c r="V21" s="19">
        <v>12</v>
      </c>
      <c r="W21" s="21"/>
      <c r="X21" s="19">
        <v>2</v>
      </c>
      <c r="Y21" s="20">
        <f t="shared" ref="Y21:Y27" si="7">SUM(Z21,AA21)</f>
        <v>3</v>
      </c>
      <c r="Z21" s="19">
        <v>0</v>
      </c>
      <c r="AA21" s="19">
        <v>3</v>
      </c>
      <c r="AB21" s="21"/>
    </row>
    <row r="22" spans="1:28" outlineLevel="1" x14ac:dyDescent="0.2">
      <c r="B22" s="2"/>
      <c r="C22" s="1"/>
      <c r="D22" s="19" t="s">
        <v>40</v>
      </c>
      <c r="E22" s="19"/>
      <c r="F22" s="22">
        <f>MIN(F20,F21)/MAX(F20,F21)</f>
        <v>0.97378277153558057</v>
      </c>
      <c r="G22" s="22">
        <f>MIN(G20,G21)/MAX(G20,G21)</f>
        <v>0.97378277153558057</v>
      </c>
      <c r="H22" s="21"/>
      <c r="I22" s="19">
        <v>3</v>
      </c>
      <c r="J22" s="20">
        <f t="shared" si="4"/>
        <v>11</v>
      </c>
      <c r="K22" s="19">
        <v>0</v>
      </c>
      <c r="L22" s="19">
        <v>11</v>
      </c>
      <c r="M22" s="33"/>
      <c r="N22" s="19">
        <v>3</v>
      </c>
      <c r="O22" s="20">
        <f t="shared" si="5"/>
        <v>1</v>
      </c>
      <c r="P22" s="19">
        <v>0</v>
      </c>
      <c r="Q22" s="19">
        <v>1</v>
      </c>
      <c r="R22" s="21"/>
      <c r="S22" s="19">
        <v>3</v>
      </c>
      <c r="T22" s="20">
        <f t="shared" si="6"/>
        <v>12</v>
      </c>
      <c r="U22" s="19">
        <v>0</v>
      </c>
      <c r="V22" s="19">
        <v>12</v>
      </c>
      <c r="W22" s="21"/>
      <c r="X22" s="19">
        <v>3</v>
      </c>
      <c r="Y22" s="20">
        <f t="shared" si="7"/>
        <v>3</v>
      </c>
      <c r="Z22" s="19">
        <v>0</v>
      </c>
      <c r="AA22" s="19">
        <v>3</v>
      </c>
      <c r="AB22" s="21"/>
    </row>
    <row r="23" spans="1:28" outlineLevel="1" x14ac:dyDescent="0.2">
      <c r="B23" s="2"/>
      <c r="C23" s="1"/>
      <c r="D23" s="38"/>
      <c r="E23" s="38"/>
      <c r="F23" s="38"/>
      <c r="G23" s="38"/>
      <c r="I23" s="20">
        <v>4</v>
      </c>
      <c r="J23" s="20">
        <f t="shared" si="4"/>
        <v>18</v>
      </c>
      <c r="K23" s="19">
        <v>0</v>
      </c>
      <c r="L23" s="19">
        <v>18</v>
      </c>
      <c r="M23" s="33"/>
      <c r="N23" s="20">
        <v>4</v>
      </c>
      <c r="O23" s="20">
        <f t="shared" si="5"/>
        <v>7</v>
      </c>
      <c r="P23" s="19">
        <v>0</v>
      </c>
      <c r="Q23" s="19">
        <v>7</v>
      </c>
      <c r="R23" s="21"/>
      <c r="S23" s="20">
        <v>4</v>
      </c>
      <c r="T23" s="20">
        <f t="shared" si="6"/>
        <v>12</v>
      </c>
      <c r="U23" s="19">
        <v>0</v>
      </c>
      <c r="V23" s="19">
        <v>12</v>
      </c>
      <c r="W23" s="21"/>
      <c r="X23" s="20">
        <v>4</v>
      </c>
      <c r="Y23" s="20">
        <f t="shared" si="7"/>
        <v>13</v>
      </c>
      <c r="Z23" s="19">
        <v>0</v>
      </c>
      <c r="AA23" s="19">
        <v>13</v>
      </c>
      <c r="AB23" s="21"/>
    </row>
    <row r="24" spans="1:28" ht="17" customHeight="1" outlineLevel="1" x14ac:dyDescent="0.2">
      <c r="B24" s="89" t="s">
        <v>46</v>
      </c>
      <c r="C24" s="1"/>
      <c r="D24" s="19" t="s">
        <v>0</v>
      </c>
      <c r="E24" s="20" t="s">
        <v>63</v>
      </c>
      <c r="F24" s="20" t="s">
        <v>64</v>
      </c>
      <c r="G24" s="19" t="s">
        <v>37</v>
      </c>
      <c r="H24" s="21"/>
      <c r="I24" s="20">
        <v>5</v>
      </c>
      <c r="J24" s="20">
        <f t="shared" si="4"/>
        <v>14</v>
      </c>
      <c r="K24" s="19">
        <v>0</v>
      </c>
      <c r="L24" s="19">
        <v>14</v>
      </c>
      <c r="M24" s="33"/>
      <c r="N24" s="20">
        <v>5</v>
      </c>
      <c r="O24" s="20">
        <f t="shared" si="5"/>
        <v>7</v>
      </c>
      <c r="P24" s="19">
        <v>0</v>
      </c>
      <c r="Q24" s="19">
        <v>7</v>
      </c>
      <c r="R24" s="21"/>
      <c r="S24" s="20">
        <v>5</v>
      </c>
      <c r="T24" s="20">
        <f t="shared" si="6"/>
        <v>12</v>
      </c>
      <c r="U24" s="19">
        <v>0</v>
      </c>
      <c r="V24" s="19">
        <v>12</v>
      </c>
      <c r="W24" s="21"/>
      <c r="X24" s="20">
        <v>5</v>
      </c>
      <c r="Y24" s="20">
        <f t="shared" si="7"/>
        <v>13</v>
      </c>
      <c r="Z24" s="19">
        <v>0</v>
      </c>
      <c r="AA24" s="19">
        <v>13</v>
      </c>
      <c r="AB24" s="21"/>
    </row>
    <row r="25" spans="1:28" outlineLevel="1" x14ac:dyDescent="0.2">
      <c r="B25" s="89"/>
      <c r="C25" s="1"/>
      <c r="D25" s="19" t="s">
        <v>16</v>
      </c>
      <c r="E25" s="19">
        <f>SUM(P28,K28,U28)</f>
        <v>0</v>
      </c>
      <c r="F25" s="19">
        <f>SUM(L28)</f>
        <v>95</v>
      </c>
      <c r="G25" s="19">
        <f>SUM(E25:F25)</f>
        <v>95</v>
      </c>
      <c r="H25" s="21"/>
      <c r="I25" s="20">
        <v>6</v>
      </c>
      <c r="J25" s="20">
        <f t="shared" si="4"/>
        <v>14</v>
      </c>
      <c r="K25" s="19">
        <v>0</v>
      </c>
      <c r="L25" s="19">
        <v>14</v>
      </c>
      <c r="M25" s="33"/>
      <c r="N25" s="20">
        <v>6</v>
      </c>
      <c r="O25" s="20">
        <f t="shared" si="5"/>
        <v>8</v>
      </c>
      <c r="P25" s="19">
        <v>0</v>
      </c>
      <c r="Q25" s="19">
        <v>8</v>
      </c>
      <c r="R25" s="21"/>
      <c r="S25" s="20">
        <v>6</v>
      </c>
      <c r="T25" s="20">
        <f t="shared" si="6"/>
        <v>0</v>
      </c>
      <c r="U25" s="19">
        <v>0</v>
      </c>
      <c r="V25" s="19">
        <v>0</v>
      </c>
      <c r="W25" s="21"/>
      <c r="X25" s="20">
        <v>6</v>
      </c>
      <c r="Y25" s="20">
        <f t="shared" si="7"/>
        <v>3</v>
      </c>
      <c r="Z25" s="19">
        <v>0</v>
      </c>
      <c r="AA25" s="19">
        <v>3</v>
      </c>
      <c r="AB25" s="21"/>
    </row>
    <row r="26" spans="1:28" outlineLevel="1" x14ac:dyDescent="0.2">
      <c r="B26" s="2"/>
      <c r="C26" s="1"/>
      <c r="D26" s="19" t="s">
        <v>17</v>
      </c>
      <c r="E26" s="19">
        <v>0</v>
      </c>
      <c r="F26" s="19">
        <v>73</v>
      </c>
      <c r="G26" s="19">
        <f>SUM(E26:F26)</f>
        <v>73</v>
      </c>
      <c r="H26" s="21"/>
      <c r="I26" s="20">
        <v>7</v>
      </c>
      <c r="J26" s="20">
        <f t="shared" si="4"/>
        <v>0</v>
      </c>
      <c r="K26" s="19">
        <v>0</v>
      </c>
      <c r="L26" s="19">
        <v>0</v>
      </c>
      <c r="M26" s="33"/>
      <c r="N26" s="20">
        <v>7</v>
      </c>
      <c r="O26" s="20">
        <f t="shared" si="5"/>
        <v>0</v>
      </c>
      <c r="P26" s="19">
        <v>0</v>
      </c>
      <c r="Q26" s="19">
        <v>0</v>
      </c>
      <c r="R26" s="21"/>
      <c r="S26" s="20">
        <v>7</v>
      </c>
      <c r="T26" s="20">
        <f t="shared" si="6"/>
        <v>0</v>
      </c>
      <c r="U26" s="19">
        <v>0</v>
      </c>
      <c r="V26" s="19">
        <v>0</v>
      </c>
      <c r="W26" s="21"/>
      <c r="X26" s="20">
        <v>7</v>
      </c>
      <c r="Y26" s="20">
        <f t="shared" si="7"/>
        <v>0</v>
      </c>
      <c r="Z26" s="19">
        <v>0</v>
      </c>
      <c r="AA26" s="19">
        <v>0</v>
      </c>
      <c r="AB26" s="21"/>
    </row>
    <row r="27" spans="1:28" outlineLevel="1" x14ac:dyDescent="0.2">
      <c r="B27" s="2"/>
      <c r="D27" s="19" t="s">
        <v>40</v>
      </c>
      <c r="E27" s="22"/>
      <c r="F27" s="22">
        <f>MIN(F25,F26)/MAX(F25,F26)</f>
        <v>0.76842105263157889</v>
      </c>
      <c r="G27" s="22">
        <f>MIN(G25,G26)/MAX(G25,G26)</f>
        <v>0.76842105263157889</v>
      </c>
      <c r="H27" s="21"/>
      <c r="I27" s="19" t="s">
        <v>10</v>
      </c>
      <c r="J27" s="20">
        <f t="shared" si="4"/>
        <v>19</v>
      </c>
      <c r="K27" s="19">
        <v>0</v>
      </c>
      <c r="L27" s="19">
        <v>19</v>
      </c>
      <c r="M27" s="33"/>
      <c r="N27" s="19" t="s">
        <v>10</v>
      </c>
      <c r="O27" s="20">
        <f t="shared" si="5"/>
        <v>2</v>
      </c>
      <c r="P27" s="19">
        <v>0</v>
      </c>
      <c r="Q27" s="19">
        <v>2</v>
      </c>
      <c r="R27" s="21"/>
      <c r="S27" s="19" t="s">
        <v>10</v>
      </c>
      <c r="T27" s="20">
        <f t="shared" si="6"/>
        <v>2</v>
      </c>
      <c r="U27" s="19">
        <v>0</v>
      </c>
      <c r="V27" s="19">
        <v>2</v>
      </c>
      <c r="W27" s="21"/>
      <c r="X27" s="19" t="s">
        <v>10</v>
      </c>
      <c r="Y27" s="20">
        <f t="shared" si="7"/>
        <v>2</v>
      </c>
      <c r="Z27" s="19">
        <v>0</v>
      </c>
      <c r="AA27" s="19">
        <v>2</v>
      </c>
      <c r="AB27" s="21"/>
    </row>
    <row r="28" spans="1:28" outlineLevel="1" x14ac:dyDescent="0.2">
      <c r="C28" s="1"/>
      <c r="D28" s="38"/>
      <c r="E28" s="38"/>
      <c r="F28" s="38"/>
      <c r="G28" s="38"/>
      <c r="I28" s="19" t="s">
        <v>13</v>
      </c>
      <c r="J28" s="19">
        <f>(SUM(J20:J27))</f>
        <v>95</v>
      </c>
      <c r="K28" s="19">
        <f>(SUM(K20:K27))</f>
        <v>0</v>
      </c>
      <c r="L28" s="19">
        <f>(SUM(L20:L27))</f>
        <v>95</v>
      </c>
      <c r="M28" s="33"/>
      <c r="N28" s="19" t="s">
        <v>13</v>
      </c>
      <c r="O28" s="19">
        <f>(SUM(O20:O27))</f>
        <v>27</v>
      </c>
      <c r="P28" s="19">
        <f>(SUM(P20:P27))</f>
        <v>0</v>
      </c>
      <c r="Q28" s="19">
        <f>(SUM(Q20:Q27))</f>
        <v>27</v>
      </c>
      <c r="R28" s="21"/>
      <c r="S28" s="19" t="s">
        <v>13</v>
      </c>
      <c r="T28" s="19">
        <f>(SUM(T20:T27))</f>
        <v>59</v>
      </c>
      <c r="U28" s="19">
        <f>(SUM(U20:U27))</f>
        <v>0</v>
      </c>
      <c r="V28" s="19">
        <f>(SUM(V20:V27))</f>
        <v>59</v>
      </c>
      <c r="W28" s="21"/>
      <c r="X28" s="19" t="s">
        <v>13</v>
      </c>
      <c r="Y28" s="19">
        <f>(SUM(Y20:Y27))</f>
        <v>38</v>
      </c>
      <c r="Z28" s="19">
        <f>(SUM(Z20:Z27))</f>
        <v>0</v>
      </c>
      <c r="AA28" s="19">
        <f>(SUM(AA20:AA27))</f>
        <v>38</v>
      </c>
      <c r="AB28" s="21"/>
    </row>
    <row r="29" spans="1:28" outlineLevel="1" x14ac:dyDescent="0.2">
      <c r="C29" s="1"/>
      <c r="I29" s="38"/>
      <c r="J29" s="38"/>
      <c r="K29" s="38"/>
      <c r="L29" s="38"/>
      <c r="M29" s="1"/>
      <c r="N29" s="38"/>
      <c r="O29" s="38"/>
      <c r="P29" s="38"/>
      <c r="Q29" s="38"/>
      <c r="S29" s="38"/>
      <c r="T29" s="38"/>
      <c r="U29" s="38"/>
      <c r="V29" s="38"/>
      <c r="X29" s="38"/>
      <c r="Y29" s="38"/>
      <c r="Z29" s="38"/>
      <c r="AA29" s="38"/>
    </row>
    <row r="30" spans="1:28" ht="20" customHeight="1" outlineLevel="1" x14ac:dyDescent="0.2">
      <c r="C30" s="1"/>
      <c r="I30" s="17" t="s">
        <v>77</v>
      </c>
      <c r="J30" s="17">
        <v>5</v>
      </c>
      <c r="K30" s="17" t="s">
        <v>12</v>
      </c>
      <c r="L30" s="17" t="s">
        <v>14</v>
      </c>
      <c r="M30" s="21"/>
      <c r="N30" s="17" t="s">
        <v>77</v>
      </c>
      <c r="O30" s="17">
        <v>5</v>
      </c>
      <c r="P30" s="17" t="s">
        <v>12</v>
      </c>
      <c r="Q30" s="17" t="s">
        <v>14</v>
      </c>
    </row>
    <row r="31" spans="1:28" ht="15" customHeight="1" x14ac:dyDescent="0.2">
      <c r="C31" s="1"/>
      <c r="I31" s="16" t="s">
        <v>11</v>
      </c>
      <c r="J31" s="34" t="s">
        <v>5</v>
      </c>
      <c r="K31" s="16"/>
      <c r="L31" s="16"/>
      <c r="M31" s="21"/>
      <c r="N31" s="16" t="s">
        <v>11</v>
      </c>
      <c r="O31" s="34" t="s">
        <v>7</v>
      </c>
      <c r="P31" s="16"/>
      <c r="Q31" s="16"/>
    </row>
    <row r="32" spans="1:28" ht="19" customHeight="1" outlineLevel="1" x14ac:dyDescent="0.2">
      <c r="C32" s="1"/>
      <c r="I32" s="17" t="s">
        <v>9</v>
      </c>
      <c r="J32" s="17" t="s">
        <v>66</v>
      </c>
      <c r="K32" s="17" t="s">
        <v>60</v>
      </c>
      <c r="L32" s="17" t="s">
        <v>62</v>
      </c>
      <c r="M32" s="21"/>
      <c r="N32" s="17" t="s">
        <v>9</v>
      </c>
      <c r="O32" s="17" t="s">
        <v>66</v>
      </c>
      <c r="P32" s="17" t="s">
        <v>60</v>
      </c>
      <c r="Q32" s="17" t="s">
        <v>62</v>
      </c>
    </row>
    <row r="33" spans="2:28" outlineLevel="1" x14ac:dyDescent="0.2">
      <c r="C33" s="1"/>
      <c r="I33" s="17">
        <v>1</v>
      </c>
      <c r="J33" s="17">
        <f>SUM(K33,L33)</f>
        <v>6</v>
      </c>
      <c r="K33" s="17">
        <v>0</v>
      </c>
      <c r="L33" s="17">
        <v>6</v>
      </c>
      <c r="M33" s="21"/>
      <c r="N33" s="17">
        <v>1</v>
      </c>
      <c r="O33" s="17">
        <f>SUM(P33,Q33)</f>
        <v>0</v>
      </c>
      <c r="P33" s="17">
        <v>0</v>
      </c>
      <c r="Q33" s="17">
        <v>0</v>
      </c>
    </row>
    <row r="34" spans="2:28" ht="13" customHeight="1" outlineLevel="1" x14ac:dyDescent="0.2">
      <c r="C34" s="1"/>
      <c r="I34" s="16">
        <v>2</v>
      </c>
      <c r="J34" s="17">
        <f t="shared" ref="J34:J40" si="8">SUM(K34,L34)</f>
        <v>6</v>
      </c>
      <c r="K34" s="16">
        <v>0</v>
      </c>
      <c r="L34" s="16">
        <v>6</v>
      </c>
      <c r="M34" s="21"/>
      <c r="N34" s="16">
        <v>2</v>
      </c>
      <c r="O34" s="17">
        <f t="shared" ref="O34:O40" si="9">SUM(P34,Q34)</f>
        <v>0</v>
      </c>
      <c r="P34" s="16">
        <v>0</v>
      </c>
      <c r="Q34" s="16">
        <v>0</v>
      </c>
    </row>
    <row r="35" spans="2:28" outlineLevel="1" x14ac:dyDescent="0.2">
      <c r="C35" s="1"/>
      <c r="I35" s="16">
        <v>3</v>
      </c>
      <c r="J35" s="17">
        <f t="shared" si="8"/>
        <v>6</v>
      </c>
      <c r="K35" s="16">
        <v>0</v>
      </c>
      <c r="L35" s="16">
        <v>6</v>
      </c>
      <c r="M35" s="21"/>
      <c r="N35" s="16">
        <v>3</v>
      </c>
      <c r="O35" s="17">
        <f t="shared" si="9"/>
        <v>6</v>
      </c>
      <c r="P35" s="16">
        <v>0</v>
      </c>
      <c r="Q35" s="16">
        <v>6</v>
      </c>
    </row>
    <row r="36" spans="2:28" outlineLevel="1" x14ac:dyDescent="0.2">
      <c r="C36" s="1"/>
      <c r="I36" s="17">
        <v>4</v>
      </c>
      <c r="J36" s="17">
        <f t="shared" si="8"/>
        <v>6</v>
      </c>
      <c r="K36" s="16">
        <v>0</v>
      </c>
      <c r="L36" s="16">
        <v>6</v>
      </c>
      <c r="M36" s="21"/>
      <c r="N36" s="17">
        <v>4</v>
      </c>
      <c r="O36" s="17">
        <f t="shared" si="9"/>
        <v>7</v>
      </c>
      <c r="P36" s="16">
        <v>0</v>
      </c>
      <c r="Q36" s="16">
        <v>7</v>
      </c>
    </row>
    <row r="37" spans="2:28" ht="17" customHeight="1" outlineLevel="1" x14ac:dyDescent="0.2">
      <c r="C37" s="1"/>
      <c r="I37" s="17">
        <v>5</v>
      </c>
      <c r="J37" s="17">
        <f t="shared" si="8"/>
        <v>0</v>
      </c>
      <c r="K37" s="16">
        <v>0</v>
      </c>
      <c r="L37" s="16">
        <v>0</v>
      </c>
      <c r="M37" s="21"/>
      <c r="N37" s="17">
        <v>5</v>
      </c>
      <c r="O37" s="17">
        <f t="shared" si="9"/>
        <v>0</v>
      </c>
      <c r="P37" s="16">
        <v>0</v>
      </c>
      <c r="Q37" s="16">
        <v>0</v>
      </c>
    </row>
    <row r="38" spans="2:28" outlineLevel="1" x14ac:dyDescent="0.2">
      <c r="C38" s="1"/>
      <c r="I38" s="17">
        <v>6</v>
      </c>
      <c r="J38" s="17">
        <f t="shared" si="8"/>
        <v>0</v>
      </c>
      <c r="K38" s="16">
        <v>0</v>
      </c>
      <c r="L38" s="16">
        <v>0</v>
      </c>
      <c r="M38" s="21"/>
      <c r="N38" s="17">
        <v>6</v>
      </c>
      <c r="O38" s="17">
        <f t="shared" si="9"/>
        <v>0</v>
      </c>
      <c r="P38" s="16">
        <v>0</v>
      </c>
      <c r="Q38" s="16">
        <v>0</v>
      </c>
    </row>
    <row r="39" spans="2:28" ht="15" customHeight="1" outlineLevel="1" x14ac:dyDescent="0.2">
      <c r="C39" s="1"/>
      <c r="I39" s="17">
        <v>7</v>
      </c>
      <c r="J39" s="17">
        <f t="shared" si="8"/>
        <v>0</v>
      </c>
      <c r="K39" s="16">
        <v>0</v>
      </c>
      <c r="L39" s="16">
        <v>0</v>
      </c>
      <c r="M39" s="21"/>
      <c r="N39" s="17">
        <v>7</v>
      </c>
      <c r="O39" s="17">
        <f t="shared" si="9"/>
        <v>0</v>
      </c>
      <c r="P39" s="16">
        <v>0</v>
      </c>
      <c r="Q39" s="16">
        <v>0</v>
      </c>
    </row>
    <row r="40" spans="2:28" outlineLevel="1" x14ac:dyDescent="0.2">
      <c r="C40" s="1"/>
      <c r="I40" s="16" t="s">
        <v>10</v>
      </c>
      <c r="J40" s="17">
        <f t="shared" si="8"/>
        <v>0</v>
      </c>
      <c r="K40" s="16">
        <v>0</v>
      </c>
      <c r="L40" s="16">
        <v>0</v>
      </c>
      <c r="M40" s="21"/>
      <c r="N40" s="16" t="s">
        <v>10</v>
      </c>
      <c r="O40" s="17">
        <f t="shared" si="9"/>
        <v>4</v>
      </c>
      <c r="P40" s="16">
        <v>0</v>
      </c>
      <c r="Q40" s="16">
        <v>4</v>
      </c>
    </row>
    <row r="41" spans="2:28" outlineLevel="1" x14ac:dyDescent="0.2">
      <c r="C41" s="1"/>
      <c r="I41" s="16" t="s">
        <v>13</v>
      </c>
      <c r="J41" s="16">
        <f>(SUM(J33:J40))</f>
        <v>24</v>
      </c>
      <c r="K41" s="16">
        <f>(SUM(K33:K40))</f>
        <v>0</v>
      </c>
      <c r="L41" s="16">
        <f>(SUM(L33:L40))</f>
        <v>24</v>
      </c>
      <c r="M41" s="21"/>
      <c r="N41" s="16" t="s">
        <v>13</v>
      </c>
      <c r="O41" s="16">
        <f>(SUM(O33:O40))</f>
        <v>17</v>
      </c>
      <c r="P41" s="16">
        <f>(SUM(P33:P40))</f>
        <v>0</v>
      </c>
      <c r="Q41" s="16">
        <f>(SUM(Q33:Q40))</f>
        <v>17</v>
      </c>
    </row>
    <row r="42" spans="2:28" outlineLevel="1" x14ac:dyDescent="0.2">
      <c r="C42" s="1"/>
      <c r="M42" s="1"/>
    </row>
    <row r="43" spans="2:28" x14ac:dyDescent="0.2">
      <c r="C43" s="1"/>
      <c r="D43" s="1"/>
      <c r="E43" s="1"/>
      <c r="F43" s="1"/>
      <c r="G43" s="1"/>
      <c r="H43" s="1"/>
      <c r="I43" s="1"/>
      <c r="J43" s="1"/>
      <c r="K43" s="1"/>
      <c r="L43" s="1"/>
      <c r="M43" s="1"/>
    </row>
    <row r="44" spans="2:28" ht="17" customHeight="1" outlineLevel="1" x14ac:dyDescent="0.2">
      <c r="B44" s="2" t="s">
        <v>34</v>
      </c>
      <c r="C44" s="1"/>
      <c r="I44" s="20" t="s">
        <v>77</v>
      </c>
      <c r="J44" s="20">
        <v>1</v>
      </c>
      <c r="K44" s="20" t="s">
        <v>12</v>
      </c>
      <c r="L44" s="20" t="s">
        <v>15</v>
      </c>
      <c r="M44" s="33"/>
      <c r="N44" s="20" t="s">
        <v>77</v>
      </c>
      <c r="O44" s="20">
        <v>2</v>
      </c>
      <c r="P44" s="20" t="s">
        <v>12</v>
      </c>
      <c r="Q44" s="20" t="s">
        <v>15</v>
      </c>
      <c r="R44" s="21"/>
      <c r="S44" s="20" t="s">
        <v>77</v>
      </c>
      <c r="T44" s="20">
        <v>3</v>
      </c>
      <c r="U44" s="20" t="s">
        <v>12</v>
      </c>
      <c r="V44" s="20" t="s">
        <v>15</v>
      </c>
      <c r="W44" s="21"/>
      <c r="X44" s="20" t="s">
        <v>77</v>
      </c>
      <c r="Y44" s="20">
        <v>4</v>
      </c>
      <c r="Z44" s="20" t="s">
        <v>12</v>
      </c>
      <c r="AA44" s="20" t="s">
        <v>14</v>
      </c>
      <c r="AB44" s="21"/>
    </row>
    <row r="45" spans="2:28" outlineLevel="1" x14ac:dyDescent="0.2">
      <c r="B45" s="2"/>
      <c r="C45" s="1"/>
      <c r="I45" s="19" t="s">
        <v>11</v>
      </c>
      <c r="J45" s="35" t="s">
        <v>8</v>
      </c>
      <c r="K45" s="19"/>
      <c r="L45" s="19"/>
      <c r="M45" s="33"/>
      <c r="N45" s="19" t="s">
        <v>11</v>
      </c>
      <c r="O45" s="35" t="s">
        <v>7</v>
      </c>
      <c r="P45" s="19"/>
      <c r="Q45" s="19"/>
      <c r="R45" s="21"/>
      <c r="S45" s="19" t="s">
        <v>11</v>
      </c>
      <c r="T45" s="35" t="s">
        <v>6</v>
      </c>
      <c r="U45" s="19"/>
      <c r="V45" s="19"/>
      <c r="W45" s="21"/>
      <c r="X45" s="19" t="s">
        <v>11</v>
      </c>
      <c r="Y45" s="35" t="s">
        <v>8</v>
      </c>
      <c r="Z45" s="19"/>
      <c r="AA45" s="19"/>
      <c r="AB45" s="21"/>
    </row>
    <row r="46" spans="2:28" ht="15" customHeight="1" outlineLevel="1" x14ac:dyDescent="0.2">
      <c r="B46" s="2"/>
      <c r="C46" s="1"/>
      <c r="D46" s="19"/>
      <c r="E46" s="19" t="s">
        <v>60</v>
      </c>
      <c r="F46" s="20" t="s">
        <v>61</v>
      </c>
      <c r="G46" s="19" t="s">
        <v>43</v>
      </c>
      <c r="H46" s="21"/>
      <c r="I46" s="20" t="s">
        <v>9</v>
      </c>
      <c r="J46" s="20" t="s">
        <v>66</v>
      </c>
      <c r="K46" s="20" t="s">
        <v>60</v>
      </c>
      <c r="L46" s="20" t="s">
        <v>62</v>
      </c>
      <c r="M46" s="33"/>
      <c r="N46" s="20" t="s">
        <v>9</v>
      </c>
      <c r="O46" s="20" t="s">
        <v>66</v>
      </c>
      <c r="P46" s="20" t="s">
        <v>60</v>
      </c>
      <c r="Q46" s="20" t="s">
        <v>62</v>
      </c>
      <c r="R46" s="21"/>
      <c r="S46" s="20" t="s">
        <v>9</v>
      </c>
      <c r="T46" s="20" t="s">
        <v>66</v>
      </c>
      <c r="U46" s="20" t="s">
        <v>60</v>
      </c>
      <c r="V46" s="20" t="s">
        <v>62</v>
      </c>
      <c r="W46" s="21"/>
      <c r="X46" s="20" t="s">
        <v>9</v>
      </c>
      <c r="Y46" s="20" t="s">
        <v>66</v>
      </c>
      <c r="Z46" s="20" t="s">
        <v>60</v>
      </c>
      <c r="AA46" s="20" t="s">
        <v>62</v>
      </c>
      <c r="AB46" s="21"/>
    </row>
    <row r="47" spans="2:28" outlineLevel="1" x14ac:dyDescent="0.2">
      <c r="B47" s="2"/>
      <c r="C47" s="1"/>
      <c r="D47" s="19" t="s">
        <v>16</v>
      </c>
      <c r="E47" s="19">
        <f>SUM(K55,P55,U55,Z55,K68,P68,U68)</f>
        <v>0</v>
      </c>
      <c r="F47" s="19">
        <f>SUM(L55,Q55,V55,AA55,L68,Q68,V68)</f>
        <v>707</v>
      </c>
      <c r="G47" s="19">
        <f>SUM(E47:F47)</f>
        <v>707</v>
      </c>
      <c r="H47" s="21"/>
      <c r="I47" s="20">
        <v>1</v>
      </c>
      <c r="J47" s="20">
        <f>SUM(K47,L47)</f>
        <v>19</v>
      </c>
      <c r="K47" s="20">
        <v>0</v>
      </c>
      <c r="L47" s="20">
        <v>19</v>
      </c>
      <c r="M47" s="33"/>
      <c r="N47" s="20">
        <v>1</v>
      </c>
      <c r="O47" s="20">
        <f>SUM(P47,Q47)</f>
        <v>15</v>
      </c>
      <c r="P47" s="20">
        <v>0</v>
      </c>
      <c r="Q47" s="20">
        <v>15</v>
      </c>
      <c r="R47" s="21"/>
      <c r="S47" s="20">
        <v>1</v>
      </c>
      <c r="T47" s="20">
        <f>SUM(U47,V47)</f>
        <v>9</v>
      </c>
      <c r="U47" s="20">
        <v>0</v>
      </c>
      <c r="V47" s="20">
        <v>9</v>
      </c>
      <c r="W47" s="21"/>
      <c r="X47" s="20">
        <v>1</v>
      </c>
      <c r="Y47" s="20">
        <f>SUM(Z47,AA47)</f>
        <v>12</v>
      </c>
      <c r="Z47" s="20">
        <v>0</v>
      </c>
      <c r="AA47" s="20">
        <v>12</v>
      </c>
      <c r="AB47" s="21"/>
    </row>
    <row r="48" spans="2:28" outlineLevel="1" x14ac:dyDescent="0.2">
      <c r="B48" s="84" t="s">
        <v>67</v>
      </c>
      <c r="C48" s="33"/>
      <c r="D48" s="19" t="s">
        <v>17</v>
      </c>
      <c r="E48" s="19">
        <v>12</v>
      </c>
      <c r="F48" s="19">
        <v>877</v>
      </c>
      <c r="G48" s="19">
        <f>SUM(E48:F48)</f>
        <v>889</v>
      </c>
      <c r="H48" s="21"/>
      <c r="I48" s="19">
        <v>2</v>
      </c>
      <c r="J48" s="20">
        <f t="shared" ref="J48:J54" si="10">SUM(K48,L48)</f>
        <v>26</v>
      </c>
      <c r="K48" s="19">
        <v>0</v>
      </c>
      <c r="L48" s="19">
        <v>26</v>
      </c>
      <c r="M48" s="33"/>
      <c r="N48" s="19">
        <v>2</v>
      </c>
      <c r="O48" s="20">
        <f t="shared" ref="O48:O54" si="11">SUM(P48,Q48)</f>
        <v>16</v>
      </c>
      <c r="P48" s="19">
        <v>0</v>
      </c>
      <c r="Q48" s="19">
        <v>16</v>
      </c>
      <c r="R48" s="21"/>
      <c r="S48" s="19">
        <v>2</v>
      </c>
      <c r="T48" s="20">
        <f t="shared" ref="T48:T54" si="12">SUM(U48,V48)</f>
        <v>12</v>
      </c>
      <c r="U48" s="19">
        <v>0</v>
      </c>
      <c r="V48" s="19">
        <v>12</v>
      </c>
      <c r="W48" s="21"/>
      <c r="X48" s="19">
        <v>2</v>
      </c>
      <c r="Y48" s="20">
        <f t="shared" ref="Y48:Y54" si="13">SUM(Z48,AA48)</f>
        <v>16</v>
      </c>
      <c r="Z48" s="19">
        <v>0</v>
      </c>
      <c r="AA48" s="19">
        <v>16</v>
      </c>
      <c r="AB48" s="21"/>
    </row>
    <row r="49" spans="2:28" outlineLevel="1" x14ac:dyDescent="0.2">
      <c r="B49" s="84"/>
      <c r="C49" s="33"/>
      <c r="D49" s="19" t="s">
        <v>40</v>
      </c>
      <c r="E49" s="22">
        <f>MIN(E47,E48)/MAX(E47,E48)</f>
        <v>0</v>
      </c>
      <c r="F49" s="22">
        <f>MIN(F47,F48)/MAX(F47,F48)</f>
        <v>0.80615735461801596</v>
      </c>
      <c r="G49" s="22">
        <f>MIN(G47,G48)/MAX(G47,G48)</f>
        <v>0.79527559055118113</v>
      </c>
      <c r="H49" s="21"/>
      <c r="I49" s="19">
        <v>3</v>
      </c>
      <c r="J49" s="20">
        <f t="shared" si="10"/>
        <v>26</v>
      </c>
      <c r="K49" s="19">
        <v>0</v>
      </c>
      <c r="L49" s="19">
        <v>26</v>
      </c>
      <c r="M49" s="33"/>
      <c r="N49" s="19">
        <v>3</v>
      </c>
      <c r="O49" s="20">
        <f t="shared" si="11"/>
        <v>16</v>
      </c>
      <c r="P49" s="19">
        <v>0</v>
      </c>
      <c r="Q49" s="19">
        <v>16</v>
      </c>
      <c r="R49" s="21"/>
      <c r="S49" s="19">
        <v>3</v>
      </c>
      <c r="T49" s="20">
        <f t="shared" si="12"/>
        <v>12</v>
      </c>
      <c r="U49" s="19">
        <v>0</v>
      </c>
      <c r="V49" s="19">
        <v>12</v>
      </c>
      <c r="W49" s="21"/>
      <c r="X49" s="19">
        <v>3</v>
      </c>
      <c r="Y49" s="20">
        <f t="shared" si="13"/>
        <v>16</v>
      </c>
      <c r="Z49" s="19">
        <v>0</v>
      </c>
      <c r="AA49" s="19">
        <v>16</v>
      </c>
      <c r="AB49" s="21"/>
    </row>
    <row r="50" spans="2:28" outlineLevel="1" x14ac:dyDescent="0.2">
      <c r="B50" s="41"/>
      <c r="C50" s="1"/>
      <c r="D50" s="38"/>
      <c r="E50" s="38"/>
      <c r="F50" s="38"/>
      <c r="G50" s="38"/>
      <c r="I50" s="20">
        <v>4</v>
      </c>
      <c r="J50" s="20">
        <f t="shared" si="10"/>
        <v>26</v>
      </c>
      <c r="K50" s="19">
        <v>0</v>
      </c>
      <c r="L50" s="19">
        <v>26</v>
      </c>
      <c r="M50" s="33"/>
      <c r="N50" s="20">
        <v>4</v>
      </c>
      <c r="O50" s="20">
        <f t="shared" si="11"/>
        <v>16</v>
      </c>
      <c r="P50" s="19">
        <v>0</v>
      </c>
      <c r="Q50" s="19">
        <v>16</v>
      </c>
      <c r="R50" s="21"/>
      <c r="S50" s="20">
        <v>4</v>
      </c>
      <c r="T50" s="20">
        <f t="shared" si="12"/>
        <v>12</v>
      </c>
      <c r="U50" s="19">
        <v>0</v>
      </c>
      <c r="V50" s="19">
        <v>12</v>
      </c>
      <c r="W50" s="21"/>
      <c r="X50" s="20">
        <v>4</v>
      </c>
      <c r="Y50" s="20">
        <f t="shared" si="13"/>
        <v>16</v>
      </c>
      <c r="Z50" s="19">
        <v>0</v>
      </c>
      <c r="AA50" s="19">
        <v>16</v>
      </c>
      <c r="AB50" s="21"/>
    </row>
    <row r="51" spans="2:28" ht="15" customHeight="1" outlineLevel="1" x14ac:dyDescent="0.2">
      <c r="B51" s="2"/>
      <c r="C51" s="1"/>
      <c r="D51" s="19" t="s">
        <v>0</v>
      </c>
      <c r="E51" s="20" t="s">
        <v>63</v>
      </c>
      <c r="F51" s="20" t="s">
        <v>64</v>
      </c>
      <c r="G51" s="19" t="s">
        <v>37</v>
      </c>
      <c r="H51" s="21"/>
      <c r="I51" s="20">
        <v>5</v>
      </c>
      <c r="J51" s="20">
        <f t="shared" si="10"/>
        <v>26</v>
      </c>
      <c r="K51" s="19">
        <v>0</v>
      </c>
      <c r="L51" s="19">
        <v>26</v>
      </c>
      <c r="M51" s="33"/>
      <c r="N51" s="20">
        <v>5</v>
      </c>
      <c r="O51" s="20">
        <f t="shared" si="11"/>
        <v>16</v>
      </c>
      <c r="P51" s="19">
        <v>0</v>
      </c>
      <c r="Q51" s="19">
        <v>16</v>
      </c>
      <c r="R51" s="21"/>
      <c r="S51" s="20">
        <v>5</v>
      </c>
      <c r="T51" s="20">
        <f t="shared" si="12"/>
        <v>12</v>
      </c>
      <c r="U51" s="19">
        <v>0</v>
      </c>
      <c r="V51" s="19">
        <v>12</v>
      </c>
      <c r="W51" s="21"/>
      <c r="X51" s="20">
        <v>5</v>
      </c>
      <c r="Y51" s="20">
        <f t="shared" si="13"/>
        <v>16</v>
      </c>
      <c r="Z51" s="19">
        <v>0</v>
      </c>
      <c r="AA51" s="19">
        <v>16</v>
      </c>
      <c r="AB51" s="21"/>
    </row>
    <row r="52" spans="2:28" outlineLevel="1" x14ac:dyDescent="0.2">
      <c r="B52" s="2"/>
      <c r="C52" s="1"/>
      <c r="D52" s="19" t="s">
        <v>16</v>
      </c>
      <c r="E52" s="19">
        <f>SUM(P55,K55,U55)</f>
        <v>0</v>
      </c>
      <c r="F52" s="19">
        <f>SUM(Q55,L55,AA55)</f>
        <v>399</v>
      </c>
      <c r="G52" s="19">
        <f>SUM(E52:F52)</f>
        <v>399</v>
      </c>
      <c r="H52" s="21"/>
      <c r="I52" s="20">
        <v>6</v>
      </c>
      <c r="J52" s="20">
        <f t="shared" si="10"/>
        <v>26</v>
      </c>
      <c r="K52" s="19">
        <v>0</v>
      </c>
      <c r="L52" s="19">
        <v>26</v>
      </c>
      <c r="M52" s="33"/>
      <c r="N52" s="20">
        <v>6</v>
      </c>
      <c r="O52" s="20">
        <f t="shared" si="11"/>
        <v>16</v>
      </c>
      <c r="P52" s="19">
        <v>0</v>
      </c>
      <c r="Q52" s="19">
        <v>16</v>
      </c>
      <c r="R52" s="21"/>
      <c r="S52" s="20">
        <v>6</v>
      </c>
      <c r="T52" s="20">
        <f t="shared" si="12"/>
        <v>12</v>
      </c>
      <c r="U52" s="19">
        <v>0</v>
      </c>
      <c r="V52" s="19">
        <v>12</v>
      </c>
      <c r="W52" s="21"/>
      <c r="X52" s="20">
        <v>6</v>
      </c>
      <c r="Y52" s="20">
        <f t="shared" si="13"/>
        <v>16</v>
      </c>
      <c r="Z52" s="19">
        <v>0</v>
      </c>
      <c r="AA52" s="19">
        <v>16</v>
      </c>
      <c r="AB52" s="21"/>
    </row>
    <row r="53" spans="2:28" outlineLevel="1" x14ac:dyDescent="0.2">
      <c r="B53" s="2"/>
      <c r="C53" s="1"/>
      <c r="D53" s="19" t="s">
        <v>17</v>
      </c>
      <c r="E53" s="19">
        <v>5</v>
      </c>
      <c r="F53" s="19">
        <v>370</v>
      </c>
      <c r="G53" s="19">
        <f>SUM(E53:F53)</f>
        <v>375</v>
      </c>
      <c r="H53" s="21"/>
      <c r="I53" s="20">
        <v>7</v>
      </c>
      <c r="J53" s="20">
        <f t="shared" si="10"/>
        <v>26</v>
      </c>
      <c r="K53" s="19">
        <v>0</v>
      </c>
      <c r="L53" s="19">
        <v>26</v>
      </c>
      <c r="M53" s="33"/>
      <c r="N53" s="20">
        <v>7</v>
      </c>
      <c r="O53" s="20">
        <f t="shared" si="11"/>
        <v>0</v>
      </c>
      <c r="P53" s="19">
        <v>0</v>
      </c>
      <c r="Q53" s="19">
        <v>0</v>
      </c>
      <c r="R53" s="21"/>
      <c r="S53" s="20">
        <v>7</v>
      </c>
      <c r="T53" s="20">
        <f t="shared" si="12"/>
        <v>0</v>
      </c>
      <c r="U53" s="19">
        <v>0</v>
      </c>
      <c r="V53" s="19">
        <v>0</v>
      </c>
      <c r="W53" s="21"/>
      <c r="X53" s="20">
        <v>7</v>
      </c>
      <c r="Y53" s="20">
        <f t="shared" si="13"/>
        <v>16</v>
      </c>
      <c r="Z53" s="19">
        <v>0</v>
      </c>
      <c r="AA53" s="19">
        <v>16</v>
      </c>
      <c r="AB53" s="21"/>
    </row>
    <row r="54" spans="2:28" outlineLevel="1" x14ac:dyDescent="0.2">
      <c r="B54" s="2"/>
      <c r="C54" s="1"/>
      <c r="D54" s="19" t="s">
        <v>40</v>
      </c>
      <c r="E54" s="22">
        <f>MIN(E52,E53)/MAX(E52,E53)</f>
        <v>0</v>
      </c>
      <c r="F54" s="22">
        <f>MIN(F52,F53)/MAX(F52,F53)</f>
        <v>0.92731829573934832</v>
      </c>
      <c r="G54" s="22">
        <f>MIN(G52,G53)/MAX(G52,G53)</f>
        <v>0.93984962406015038</v>
      </c>
      <c r="H54" s="21"/>
      <c r="I54" s="19" t="s">
        <v>10</v>
      </c>
      <c r="J54" s="20">
        <f t="shared" si="10"/>
        <v>10</v>
      </c>
      <c r="K54" s="19">
        <v>0</v>
      </c>
      <c r="L54" s="19">
        <v>10</v>
      </c>
      <c r="M54" s="33"/>
      <c r="N54" s="19" t="s">
        <v>10</v>
      </c>
      <c r="O54" s="20">
        <f t="shared" si="11"/>
        <v>6</v>
      </c>
      <c r="P54" s="19">
        <v>0</v>
      </c>
      <c r="Q54" s="19">
        <v>6</v>
      </c>
      <c r="R54" s="21"/>
      <c r="S54" s="19" t="s">
        <v>10</v>
      </c>
      <c r="T54" s="20">
        <f t="shared" si="12"/>
        <v>3</v>
      </c>
      <c r="U54" s="19">
        <v>0</v>
      </c>
      <c r="V54" s="19">
        <v>3</v>
      </c>
      <c r="W54" s="21"/>
      <c r="X54" s="19" t="s">
        <v>10</v>
      </c>
      <c r="Y54" s="20">
        <f t="shared" si="13"/>
        <v>5</v>
      </c>
      <c r="Z54" s="19">
        <v>0</v>
      </c>
      <c r="AA54" s="19">
        <v>5</v>
      </c>
      <c r="AB54" s="21"/>
    </row>
    <row r="55" spans="2:28" outlineLevel="1" x14ac:dyDescent="0.2">
      <c r="B55" s="2"/>
      <c r="C55" s="1"/>
      <c r="D55" s="38"/>
      <c r="E55" s="38"/>
      <c r="F55" s="38"/>
      <c r="G55" s="38"/>
      <c r="I55" s="16" t="s">
        <v>13</v>
      </c>
      <c r="J55" s="16">
        <f>(SUM(J47:J54))</f>
        <v>185</v>
      </c>
      <c r="K55" s="16">
        <f>(SUM(K47:K54))</f>
        <v>0</v>
      </c>
      <c r="L55" s="16">
        <f>(SUM(L47:L54))</f>
        <v>185</v>
      </c>
      <c r="M55" s="33"/>
      <c r="N55" s="16" t="s">
        <v>13</v>
      </c>
      <c r="O55" s="16">
        <f>(SUM(O47:O54))</f>
        <v>101</v>
      </c>
      <c r="P55" s="16">
        <f>(SUM(P47:P54))</f>
        <v>0</v>
      </c>
      <c r="Q55" s="16">
        <f>(SUM(Q47:Q54))</f>
        <v>101</v>
      </c>
      <c r="R55" s="21"/>
      <c r="S55" s="16" t="s">
        <v>13</v>
      </c>
      <c r="T55" s="16">
        <f>(SUM(T47:T54))</f>
        <v>72</v>
      </c>
      <c r="U55" s="16">
        <f>(SUM(U47:U54))</f>
        <v>0</v>
      </c>
      <c r="V55" s="16">
        <f>(SUM(V47:V54))</f>
        <v>72</v>
      </c>
      <c r="W55" s="21"/>
      <c r="X55" s="16" t="s">
        <v>13</v>
      </c>
      <c r="Y55" s="16">
        <f>(SUM(Y47:Y54))</f>
        <v>113</v>
      </c>
      <c r="Z55" s="16">
        <f>(SUM(Z47:Z54))</f>
        <v>0</v>
      </c>
      <c r="AA55" s="16">
        <f>(SUM(AA47:AA54))</f>
        <v>113</v>
      </c>
      <c r="AB55" s="21"/>
    </row>
    <row r="56" spans="2:28" x14ac:dyDescent="0.2">
      <c r="B56" s="2"/>
      <c r="C56" s="1"/>
      <c r="D56" s="1"/>
      <c r="E56" s="1"/>
      <c r="F56" s="1"/>
      <c r="G56" s="1"/>
      <c r="H56" s="1"/>
      <c r="I56" s="1"/>
      <c r="J56" s="1"/>
      <c r="K56" s="1"/>
      <c r="L56" s="1"/>
      <c r="M56" s="1"/>
    </row>
    <row r="57" spans="2:28" ht="16" x14ac:dyDescent="0.2">
      <c r="B57" s="2"/>
      <c r="C57" s="1"/>
      <c r="D57" s="1"/>
      <c r="E57" s="1"/>
      <c r="F57" s="1"/>
      <c r="G57" s="1"/>
      <c r="H57" s="1"/>
      <c r="I57" s="17" t="s">
        <v>77</v>
      </c>
      <c r="J57" s="17">
        <v>5</v>
      </c>
      <c r="K57" s="17" t="s">
        <v>12</v>
      </c>
      <c r="L57" s="17" t="s">
        <v>14</v>
      </c>
      <c r="M57" s="21"/>
      <c r="N57" s="17" t="s">
        <v>77</v>
      </c>
      <c r="O57" s="17">
        <v>5</v>
      </c>
      <c r="P57" s="17" t="s">
        <v>12</v>
      </c>
      <c r="Q57" s="17" t="s">
        <v>14</v>
      </c>
      <c r="R57" s="21"/>
      <c r="S57" s="17" t="s">
        <v>77</v>
      </c>
      <c r="T57" s="17">
        <v>5</v>
      </c>
      <c r="U57" s="17" t="s">
        <v>12</v>
      </c>
      <c r="V57" s="17" t="s">
        <v>14</v>
      </c>
    </row>
    <row r="58" spans="2:28" ht="17" customHeight="1" outlineLevel="1" x14ac:dyDescent="0.2">
      <c r="B58" s="2"/>
      <c r="C58" s="1"/>
      <c r="D58" s="1"/>
      <c r="E58" s="1"/>
      <c r="F58" s="1"/>
      <c r="G58" s="1"/>
      <c r="H58" s="1"/>
      <c r="I58" s="16" t="s">
        <v>11</v>
      </c>
      <c r="J58" s="34" t="s">
        <v>5</v>
      </c>
      <c r="K58" s="16"/>
      <c r="L58" s="16"/>
      <c r="M58" s="21"/>
      <c r="N58" s="16" t="s">
        <v>11</v>
      </c>
      <c r="O58" s="34" t="s">
        <v>6</v>
      </c>
      <c r="P58" s="16"/>
      <c r="Q58" s="16"/>
      <c r="R58" s="21"/>
      <c r="S58" s="16" t="s">
        <v>11</v>
      </c>
      <c r="T58" s="34" t="s">
        <v>7</v>
      </c>
      <c r="U58" s="16"/>
      <c r="V58" s="16"/>
    </row>
    <row r="59" spans="2:28" ht="16" outlineLevel="1" x14ac:dyDescent="0.2">
      <c r="B59" s="2"/>
      <c r="C59" s="1"/>
      <c r="D59" s="1"/>
      <c r="E59" s="1"/>
      <c r="F59" s="1"/>
      <c r="G59" s="1"/>
      <c r="H59" s="1"/>
      <c r="I59" s="17" t="s">
        <v>9</v>
      </c>
      <c r="J59" s="17" t="s">
        <v>66</v>
      </c>
      <c r="K59" s="17" t="s">
        <v>60</v>
      </c>
      <c r="L59" s="17" t="s">
        <v>62</v>
      </c>
      <c r="M59" s="21"/>
      <c r="N59" s="17" t="s">
        <v>9</v>
      </c>
      <c r="O59" s="17" t="s">
        <v>66</v>
      </c>
      <c r="P59" s="17" t="s">
        <v>60</v>
      </c>
      <c r="Q59" s="17" t="s">
        <v>62</v>
      </c>
      <c r="R59" s="21"/>
      <c r="S59" s="17" t="s">
        <v>9</v>
      </c>
      <c r="T59" s="17" t="s">
        <v>66</v>
      </c>
      <c r="U59" s="17" t="s">
        <v>60</v>
      </c>
      <c r="V59" s="17" t="s">
        <v>62</v>
      </c>
    </row>
    <row r="60" spans="2:28" ht="16" customHeight="1" outlineLevel="1" x14ac:dyDescent="0.2">
      <c r="B60" s="2"/>
      <c r="C60" s="1"/>
      <c r="D60" s="1"/>
      <c r="E60" s="1"/>
      <c r="F60" s="1"/>
      <c r="G60" s="1"/>
      <c r="H60" s="1"/>
      <c r="I60" s="17">
        <v>1</v>
      </c>
      <c r="J60" s="17">
        <f>SUM(K60,L60)</f>
        <v>11</v>
      </c>
      <c r="K60" s="17">
        <v>0</v>
      </c>
      <c r="L60" s="17">
        <v>11</v>
      </c>
      <c r="M60" s="21"/>
      <c r="N60" s="17">
        <v>1</v>
      </c>
      <c r="O60" s="17">
        <f>SUM(P60,Q60)</f>
        <v>7</v>
      </c>
      <c r="P60" s="17">
        <v>0</v>
      </c>
      <c r="Q60" s="17">
        <v>7</v>
      </c>
      <c r="R60" s="21"/>
      <c r="S60" s="17">
        <v>1</v>
      </c>
      <c r="T60" s="17">
        <f>SUM(U60,V60)</f>
        <v>14</v>
      </c>
      <c r="U60" s="17">
        <v>0</v>
      </c>
      <c r="V60" s="17">
        <v>14</v>
      </c>
    </row>
    <row r="61" spans="2:28" outlineLevel="1" x14ac:dyDescent="0.2">
      <c r="B61" s="2"/>
      <c r="C61" s="1"/>
      <c r="D61" s="1"/>
      <c r="E61" s="1"/>
      <c r="F61" s="1"/>
      <c r="G61" s="1"/>
      <c r="H61" s="1"/>
      <c r="I61" s="16">
        <v>2</v>
      </c>
      <c r="J61" s="17">
        <f t="shared" ref="J61:J67" si="14">SUM(K61,L61)</f>
        <v>12</v>
      </c>
      <c r="K61" s="16">
        <v>0</v>
      </c>
      <c r="L61" s="16">
        <v>12</v>
      </c>
      <c r="M61" s="21"/>
      <c r="N61" s="16">
        <v>2</v>
      </c>
      <c r="O61" s="17">
        <f t="shared" ref="O61:O67" si="15">SUM(P61,Q61)</f>
        <v>8</v>
      </c>
      <c r="P61" s="16">
        <v>0</v>
      </c>
      <c r="Q61" s="16">
        <v>8</v>
      </c>
      <c r="R61" s="21"/>
      <c r="S61" s="16">
        <v>2</v>
      </c>
      <c r="T61" s="17">
        <f t="shared" ref="T61:T67" si="16">SUM(U61,V61)</f>
        <v>14</v>
      </c>
      <c r="U61" s="16">
        <v>0</v>
      </c>
      <c r="V61" s="16">
        <v>14</v>
      </c>
    </row>
    <row r="62" spans="2:28" outlineLevel="1" x14ac:dyDescent="0.2">
      <c r="B62" s="2"/>
      <c r="C62" s="1"/>
      <c r="D62" s="1"/>
      <c r="E62" s="1"/>
      <c r="F62" s="1"/>
      <c r="G62" s="1"/>
      <c r="H62" s="1"/>
      <c r="I62" s="16">
        <v>3</v>
      </c>
      <c r="J62" s="17">
        <f t="shared" si="14"/>
        <v>12</v>
      </c>
      <c r="K62" s="16">
        <v>0</v>
      </c>
      <c r="L62" s="16">
        <v>12</v>
      </c>
      <c r="M62" s="21"/>
      <c r="N62" s="16">
        <v>3</v>
      </c>
      <c r="O62" s="17">
        <f t="shared" si="15"/>
        <v>8</v>
      </c>
      <c r="P62" s="16">
        <v>0</v>
      </c>
      <c r="Q62" s="16">
        <v>8</v>
      </c>
      <c r="R62" s="21"/>
      <c r="S62" s="16">
        <v>3</v>
      </c>
      <c r="T62" s="17">
        <f t="shared" si="16"/>
        <v>14</v>
      </c>
      <c r="U62" s="16">
        <v>0</v>
      </c>
      <c r="V62" s="16">
        <v>14</v>
      </c>
    </row>
    <row r="63" spans="2:28" outlineLevel="1" x14ac:dyDescent="0.2">
      <c r="B63" s="2"/>
      <c r="C63" s="1"/>
      <c r="D63" s="1"/>
      <c r="E63" s="1"/>
      <c r="F63" s="1"/>
      <c r="G63" s="1"/>
      <c r="H63" s="1"/>
      <c r="I63" s="17">
        <v>4</v>
      </c>
      <c r="J63" s="17">
        <f t="shared" si="14"/>
        <v>12</v>
      </c>
      <c r="K63" s="16">
        <v>0</v>
      </c>
      <c r="L63" s="16">
        <v>12</v>
      </c>
      <c r="M63" s="21"/>
      <c r="N63" s="17">
        <v>4</v>
      </c>
      <c r="O63" s="17">
        <f t="shared" si="15"/>
        <v>8</v>
      </c>
      <c r="P63" s="16">
        <v>0</v>
      </c>
      <c r="Q63" s="16">
        <v>8</v>
      </c>
      <c r="R63" s="21"/>
      <c r="S63" s="17">
        <v>4</v>
      </c>
      <c r="T63" s="17">
        <f t="shared" si="16"/>
        <v>14</v>
      </c>
      <c r="U63" s="16">
        <v>0</v>
      </c>
      <c r="V63" s="16">
        <v>14</v>
      </c>
    </row>
    <row r="64" spans="2:28" outlineLevel="1" x14ac:dyDescent="0.2">
      <c r="B64" s="2"/>
      <c r="C64" s="1"/>
      <c r="D64" s="1"/>
      <c r="E64" s="1"/>
      <c r="F64" s="1"/>
      <c r="G64" s="1"/>
      <c r="H64" s="1"/>
      <c r="I64" s="17">
        <v>5</v>
      </c>
      <c r="J64" s="17">
        <f t="shared" si="14"/>
        <v>12</v>
      </c>
      <c r="K64" s="16">
        <v>0</v>
      </c>
      <c r="L64" s="16">
        <v>12</v>
      </c>
      <c r="M64" s="21"/>
      <c r="N64" s="17">
        <v>5</v>
      </c>
      <c r="O64" s="17">
        <f t="shared" si="15"/>
        <v>8</v>
      </c>
      <c r="P64" s="16">
        <v>0</v>
      </c>
      <c r="Q64" s="16">
        <v>8</v>
      </c>
      <c r="R64" s="21"/>
      <c r="S64" s="17">
        <v>5</v>
      </c>
      <c r="T64" s="17">
        <f t="shared" si="16"/>
        <v>14</v>
      </c>
      <c r="U64" s="16">
        <v>0</v>
      </c>
      <c r="V64" s="16">
        <v>14</v>
      </c>
    </row>
    <row r="65" spans="1:28" ht="16" customHeight="1" outlineLevel="1" x14ac:dyDescent="0.2">
      <c r="B65" s="2"/>
      <c r="C65" s="1"/>
      <c r="D65" s="1"/>
      <c r="E65" s="1"/>
      <c r="F65" s="1"/>
      <c r="G65" s="1"/>
      <c r="H65" s="1"/>
      <c r="I65" s="17">
        <v>6</v>
      </c>
      <c r="J65" s="17">
        <f t="shared" si="14"/>
        <v>12</v>
      </c>
      <c r="K65" s="16">
        <v>0</v>
      </c>
      <c r="L65" s="16">
        <v>12</v>
      </c>
      <c r="M65" s="21"/>
      <c r="N65" s="17">
        <v>6</v>
      </c>
      <c r="O65" s="17">
        <f t="shared" si="15"/>
        <v>8</v>
      </c>
      <c r="P65" s="16">
        <v>0</v>
      </c>
      <c r="Q65" s="16">
        <v>8</v>
      </c>
      <c r="R65" s="21"/>
      <c r="S65" s="17">
        <v>6</v>
      </c>
      <c r="T65" s="17">
        <f t="shared" si="16"/>
        <v>14</v>
      </c>
      <c r="U65" s="16">
        <v>0</v>
      </c>
      <c r="V65" s="16">
        <v>14</v>
      </c>
    </row>
    <row r="66" spans="1:28" outlineLevel="1" x14ac:dyDescent="0.2">
      <c r="B66" s="2"/>
      <c r="C66" s="1"/>
      <c r="D66" s="1"/>
      <c r="E66" s="1"/>
      <c r="F66" s="1"/>
      <c r="G66" s="1"/>
      <c r="H66" s="1"/>
      <c r="I66" s="17">
        <v>7</v>
      </c>
      <c r="J66" s="17">
        <f t="shared" si="14"/>
        <v>12</v>
      </c>
      <c r="K66" s="16">
        <v>0</v>
      </c>
      <c r="L66" s="16">
        <v>12</v>
      </c>
      <c r="M66" s="21"/>
      <c r="N66" s="17">
        <v>7</v>
      </c>
      <c r="O66" s="17">
        <f t="shared" si="15"/>
        <v>8</v>
      </c>
      <c r="P66" s="16">
        <v>0</v>
      </c>
      <c r="Q66" s="16">
        <v>8</v>
      </c>
      <c r="R66" s="21"/>
      <c r="S66" s="17">
        <v>7</v>
      </c>
      <c r="T66" s="17">
        <f t="shared" si="16"/>
        <v>14</v>
      </c>
      <c r="U66" s="16">
        <v>0</v>
      </c>
      <c r="V66" s="16">
        <v>14</v>
      </c>
    </row>
    <row r="67" spans="1:28" outlineLevel="1" x14ac:dyDescent="0.2">
      <c r="B67" s="2"/>
      <c r="C67" s="1"/>
      <c r="D67" s="1"/>
      <c r="E67" s="1"/>
      <c r="F67" s="1"/>
      <c r="G67" s="1"/>
      <c r="H67" s="1"/>
      <c r="I67" s="16" t="s">
        <v>10</v>
      </c>
      <c r="J67" s="17">
        <f t="shared" si="14"/>
        <v>0</v>
      </c>
      <c r="K67" s="16">
        <v>0</v>
      </c>
      <c r="L67" s="16">
        <v>0</v>
      </c>
      <c r="M67" s="21"/>
      <c r="N67" s="16" t="s">
        <v>10</v>
      </c>
      <c r="O67" s="17">
        <f t="shared" si="15"/>
        <v>0</v>
      </c>
      <c r="P67" s="16">
        <v>0</v>
      </c>
      <c r="Q67" s="16">
        <v>0</v>
      </c>
      <c r="R67" s="21"/>
      <c r="S67" s="16" t="s">
        <v>10</v>
      </c>
      <c r="T67" s="17">
        <f t="shared" si="16"/>
        <v>0</v>
      </c>
      <c r="U67" s="16">
        <v>0</v>
      </c>
      <c r="V67" s="16">
        <v>0</v>
      </c>
    </row>
    <row r="68" spans="1:28" outlineLevel="1" x14ac:dyDescent="0.2">
      <c r="B68" s="2"/>
      <c r="C68" s="1"/>
      <c r="D68" s="1"/>
      <c r="E68" s="1"/>
      <c r="F68" s="1"/>
      <c r="G68" s="1"/>
      <c r="H68" s="1"/>
      <c r="I68" s="16" t="s">
        <v>13</v>
      </c>
      <c r="J68" s="16">
        <f>(SUM(J60:J67))</f>
        <v>83</v>
      </c>
      <c r="K68" s="16">
        <f>(SUM(K60:K67))</f>
        <v>0</v>
      </c>
      <c r="L68" s="16">
        <f>(SUM(L60:L67))</f>
        <v>83</v>
      </c>
      <c r="M68" s="21"/>
      <c r="N68" s="16" t="s">
        <v>13</v>
      </c>
      <c r="O68" s="16">
        <f>(SUM(O60:O67))</f>
        <v>55</v>
      </c>
      <c r="P68" s="16">
        <f>(SUM(P60:P67))</f>
        <v>0</v>
      </c>
      <c r="Q68" s="16">
        <f>(SUM(Q60:Q67))</f>
        <v>55</v>
      </c>
      <c r="R68" s="21"/>
      <c r="S68" s="16" t="s">
        <v>13</v>
      </c>
      <c r="T68" s="16">
        <f>(SUM(T60:T67))</f>
        <v>98</v>
      </c>
      <c r="U68" s="16">
        <f>(SUM(U60:U67))</f>
        <v>0</v>
      </c>
      <c r="V68" s="16">
        <f>(SUM(V60:V67))</f>
        <v>98</v>
      </c>
    </row>
    <row r="69" spans="1:28" outlineLevel="1" x14ac:dyDescent="0.2">
      <c r="B69" s="2"/>
      <c r="C69" s="1"/>
      <c r="D69" s="1"/>
      <c r="E69" s="1"/>
      <c r="F69" s="1"/>
      <c r="G69" s="1"/>
      <c r="H69" s="1"/>
      <c r="I69" s="1"/>
      <c r="J69" s="1"/>
      <c r="K69" s="1"/>
      <c r="L69" s="1"/>
      <c r="M69" s="1"/>
    </row>
    <row r="70" spans="1:28" x14ac:dyDescent="0.2">
      <c r="B70" s="2"/>
      <c r="C70" s="1"/>
      <c r="D70" s="1"/>
      <c r="E70" s="1"/>
      <c r="F70" s="1"/>
      <c r="G70" s="1"/>
      <c r="H70" s="1"/>
      <c r="I70" s="1"/>
      <c r="J70" s="1"/>
      <c r="K70" s="1"/>
      <c r="L70" s="1"/>
      <c r="M70" s="1"/>
    </row>
    <row r="71" spans="1:28" ht="32" x14ac:dyDescent="0.2">
      <c r="A71" s="1" t="s">
        <v>35</v>
      </c>
      <c r="B71" s="2">
        <v>14</v>
      </c>
      <c r="C71" s="1"/>
      <c r="I71" s="20" t="s">
        <v>77</v>
      </c>
      <c r="J71" s="20">
        <v>1</v>
      </c>
      <c r="K71" s="20" t="s">
        <v>12</v>
      </c>
      <c r="L71" s="20" t="s">
        <v>15</v>
      </c>
      <c r="M71" s="33"/>
      <c r="N71" s="20" t="s">
        <v>77</v>
      </c>
      <c r="O71" s="20">
        <v>2</v>
      </c>
      <c r="P71" s="20" t="s">
        <v>12</v>
      </c>
      <c r="Q71" s="20" t="s">
        <v>15</v>
      </c>
      <c r="R71" s="21"/>
      <c r="S71" s="20" t="s">
        <v>77</v>
      </c>
      <c r="T71" s="20">
        <v>3</v>
      </c>
      <c r="U71" s="20" t="s">
        <v>12</v>
      </c>
      <c r="V71" s="20" t="s">
        <v>14</v>
      </c>
      <c r="W71" s="21"/>
      <c r="X71" s="20" t="s">
        <v>77</v>
      </c>
      <c r="Y71" s="20">
        <v>4</v>
      </c>
      <c r="Z71" s="20" t="s">
        <v>12</v>
      </c>
      <c r="AA71" s="20" t="s">
        <v>14</v>
      </c>
      <c r="AB71" s="21"/>
    </row>
    <row r="72" spans="1:28" ht="19" customHeight="1" outlineLevel="1" x14ac:dyDescent="0.2">
      <c r="B72" s="2"/>
      <c r="C72" s="1"/>
      <c r="I72" s="19" t="s">
        <v>11</v>
      </c>
      <c r="J72" s="35" t="s">
        <v>7</v>
      </c>
      <c r="K72" s="19"/>
      <c r="L72" s="19"/>
      <c r="M72" s="33"/>
      <c r="N72" s="19" t="s">
        <v>11</v>
      </c>
      <c r="O72" s="35" t="s">
        <v>8</v>
      </c>
      <c r="P72" s="19"/>
      <c r="Q72" s="19"/>
      <c r="R72" s="21"/>
      <c r="S72" s="19" t="s">
        <v>11</v>
      </c>
      <c r="T72" s="35" t="s">
        <v>6</v>
      </c>
      <c r="U72" s="19"/>
      <c r="V72" s="19"/>
      <c r="W72" s="21"/>
      <c r="X72" s="19" t="s">
        <v>11</v>
      </c>
      <c r="Y72" s="35" t="s">
        <v>5</v>
      </c>
      <c r="Z72" s="19"/>
      <c r="AA72" s="19"/>
      <c r="AB72" s="21"/>
    </row>
    <row r="73" spans="1:28" ht="18" customHeight="1" outlineLevel="1" x14ac:dyDescent="0.2">
      <c r="B73" s="2"/>
      <c r="C73" s="1"/>
      <c r="D73" s="19"/>
      <c r="E73" s="19" t="s">
        <v>60</v>
      </c>
      <c r="F73" s="20" t="s">
        <v>61</v>
      </c>
      <c r="G73" s="19" t="s">
        <v>43</v>
      </c>
      <c r="H73" s="21"/>
      <c r="I73" s="20" t="s">
        <v>9</v>
      </c>
      <c r="J73" s="20" t="s">
        <v>66</v>
      </c>
      <c r="K73" s="20" t="s">
        <v>60</v>
      </c>
      <c r="L73" s="20" t="s">
        <v>62</v>
      </c>
      <c r="M73" s="33"/>
      <c r="N73" s="20" t="s">
        <v>9</v>
      </c>
      <c r="O73" s="20" t="s">
        <v>66</v>
      </c>
      <c r="P73" s="20" t="s">
        <v>60</v>
      </c>
      <c r="Q73" s="20" t="s">
        <v>62</v>
      </c>
      <c r="R73" s="21"/>
      <c r="S73" s="20" t="s">
        <v>9</v>
      </c>
      <c r="T73" s="20" t="s">
        <v>66</v>
      </c>
      <c r="U73" s="20" t="s">
        <v>60</v>
      </c>
      <c r="V73" s="20" t="s">
        <v>62</v>
      </c>
      <c r="W73" s="21"/>
      <c r="X73" s="20" t="s">
        <v>9</v>
      </c>
      <c r="Y73" s="20" t="s">
        <v>66</v>
      </c>
      <c r="Z73" s="20" t="s">
        <v>60</v>
      </c>
      <c r="AA73" s="20" t="s">
        <v>62</v>
      </c>
      <c r="AB73" s="21"/>
    </row>
    <row r="74" spans="1:28" ht="14" customHeight="1" outlineLevel="1" x14ac:dyDescent="0.2">
      <c r="B74" s="2"/>
      <c r="C74" s="1"/>
      <c r="D74" s="19" t="s">
        <v>16</v>
      </c>
      <c r="E74" s="19">
        <f>SUM(K82,P82,U82,Z82)</f>
        <v>0</v>
      </c>
      <c r="F74" s="19">
        <f>SUM(L82,Q82,V82,AA82)</f>
        <v>145</v>
      </c>
      <c r="G74" s="19">
        <f>SUM(E74:F74)</f>
        <v>145</v>
      </c>
      <c r="H74" s="21"/>
      <c r="I74" s="20">
        <v>1</v>
      </c>
      <c r="J74" s="20">
        <f>SUM(K74,L74)</f>
        <v>1</v>
      </c>
      <c r="K74" s="20">
        <v>0</v>
      </c>
      <c r="L74" s="20">
        <v>1</v>
      </c>
      <c r="M74" s="33"/>
      <c r="N74" s="20">
        <v>1</v>
      </c>
      <c r="O74" s="20">
        <f>SUM(P74,Q74)</f>
        <v>6</v>
      </c>
      <c r="P74" s="20">
        <v>0</v>
      </c>
      <c r="Q74" s="20">
        <v>6</v>
      </c>
      <c r="R74" s="21"/>
      <c r="S74" s="20">
        <v>1</v>
      </c>
      <c r="T74" s="20">
        <f>SUM(U74,V74)</f>
        <v>8</v>
      </c>
      <c r="U74" s="20">
        <v>0</v>
      </c>
      <c r="V74" s="20">
        <v>8</v>
      </c>
      <c r="W74" s="21"/>
      <c r="X74" s="20">
        <v>1</v>
      </c>
      <c r="Y74" s="20">
        <f>SUM(Z74,AA74)</f>
        <v>3</v>
      </c>
      <c r="Z74" s="20">
        <v>0</v>
      </c>
      <c r="AA74" s="20">
        <v>3</v>
      </c>
      <c r="AB74" s="21"/>
    </row>
    <row r="75" spans="1:28" ht="20" customHeight="1" outlineLevel="1" x14ac:dyDescent="0.2">
      <c r="B75" s="2"/>
      <c r="C75" s="1"/>
      <c r="D75" s="19" t="s">
        <v>17</v>
      </c>
      <c r="E75" s="19">
        <v>0</v>
      </c>
      <c r="F75" s="19">
        <v>193</v>
      </c>
      <c r="G75" s="19">
        <f>SUM(E75:F75)</f>
        <v>193</v>
      </c>
      <c r="H75" s="21"/>
      <c r="I75" s="19">
        <v>2</v>
      </c>
      <c r="J75" s="20">
        <f t="shared" ref="J75:J81" si="17">SUM(K75,L75)</f>
        <v>8</v>
      </c>
      <c r="K75" s="19">
        <v>0</v>
      </c>
      <c r="L75" s="19">
        <v>8</v>
      </c>
      <c r="M75" s="33"/>
      <c r="N75" s="19">
        <v>2</v>
      </c>
      <c r="O75" s="20">
        <f t="shared" ref="O75:O81" si="18">SUM(P75,Q75)</f>
        <v>17</v>
      </c>
      <c r="P75" s="19">
        <v>0</v>
      </c>
      <c r="Q75" s="19">
        <v>17</v>
      </c>
      <c r="R75" s="21"/>
      <c r="S75" s="19">
        <v>2</v>
      </c>
      <c r="T75" s="20">
        <f t="shared" ref="T75:T81" si="19">SUM(U75,V75)</f>
        <v>13</v>
      </c>
      <c r="U75" s="19">
        <v>0</v>
      </c>
      <c r="V75" s="19">
        <v>13</v>
      </c>
      <c r="W75" s="21"/>
      <c r="X75" s="19">
        <v>2</v>
      </c>
      <c r="Y75" s="20">
        <f t="shared" ref="Y75:Y81" si="20">SUM(Z75,AA75)</f>
        <v>3</v>
      </c>
      <c r="Z75" s="19">
        <v>0</v>
      </c>
      <c r="AA75" s="19">
        <v>3</v>
      </c>
      <c r="AB75" s="21"/>
    </row>
    <row r="76" spans="1:28" outlineLevel="1" x14ac:dyDescent="0.2">
      <c r="B76" s="2"/>
      <c r="C76" s="1"/>
      <c r="D76" s="19" t="s">
        <v>40</v>
      </c>
      <c r="E76" s="19"/>
      <c r="F76" s="22">
        <f>MIN(F74,F75)/MAX(F74,F75)</f>
        <v>0.75129533678756477</v>
      </c>
      <c r="G76" s="22">
        <f>MIN(G74,G75)/MAX(G74,G75)</f>
        <v>0.75129533678756477</v>
      </c>
      <c r="H76" s="21"/>
      <c r="I76" s="19">
        <v>3</v>
      </c>
      <c r="J76" s="20">
        <f t="shared" si="17"/>
        <v>8</v>
      </c>
      <c r="K76" s="19">
        <v>0</v>
      </c>
      <c r="L76" s="19">
        <v>8</v>
      </c>
      <c r="M76" s="33"/>
      <c r="N76" s="19">
        <v>3</v>
      </c>
      <c r="O76" s="20">
        <f t="shared" si="18"/>
        <v>17</v>
      </c>
      <c r="P76" s="19">
        <v>0</v>
      </c>
      <c r="Q76" s="19">
        <v>17</v>
      </c>
      <c r="R76" s="21"/>
      <c r="S76" s="19">
        <v>3</v>
      </c>
      <c r="T76" s="20">
        <f t="shared" si="19"/>
        <v>13</v>
      </c>
      <c r="U76" s="19">
        <v>0</v>
      </c>
      <c r="V76" s="19">
        <v>13</v>
      </c>
      <c r="W76" s="21"/>
      <c r="X76" s="19">
        <v>3</v>
      </c>
      <c r="Y76" s="20">
        <f t="shared" si="20"/>
        <v>3</v>
      </c>
      <c r="Z76" s="19">
        <v>0</v>
      </c>
      <c r="AA76" s="19">
        <v>3</v>
      </c>
      <c r="AB76" s="21"/>
    </row>
    <row r="77" spans="1:28" outlineLevel="1" x14ac:dyDescent="0.2">
      <c r="B77" s="2"/>
      <c r="C77" s="1"/>
      <c r="D77" s="38"/>
      <c r="E77" s="38"/>
      <c r="F77" s="38"/>
      <c r="G77" s="38"/>
      <c r="I77" s="20">
        <v>4</v>
      </c>
      <c r="J77" s="20">
        <f t="shared" si="17"/>
        <v>8</v>
      </c>
      <c r="K77" s="19">
        <v>0</v>
      </c>
      <c r="L77" s="19">
        <v>8</v>
      </c>
      <c r="M77" s="33"/>
      <c r="N77" s="20">
        <v>4</v>
      </c>
      <c r="O77" s="20">
        <f t="shared" si="18"/>
        <v>17</v>
      </c>
      <c r="P77" s="19">
        <v>0</v>
      </c>
      <c r="Q77" s="19">
        <v>17</v>
      </c>
      <c r="R77" s="21"/>
      <c r="S77" s="20">
        <v>4</v>
      </c>
      <c r="T77" s="20">
        <f t="shared" si="19"/>
        <v>13</v>
      </c>
      <c r="U77" s="19">
        <v>0</v>
      </c>
      <c r="V77" s="19">
        <v>13</v>
      </c>
      <c r="W77" s="21"/>
      <c r="X77" s="20">
        <v>4</v>
      </c>
      <c r="Y77" s="20">
        <f t="shared" si="20"/>
        <v>3</v>
      </c>
      <c r="Z77" s="19">
        <v>0</v>
      </c>
      <c r="AA77" s="19">
        <v>3</v>
      </c>
      <c r="AB77" s="21"/>
    </row>
    <row r="78" spans="1:28" ht="14" customHeight="1" outlineLevel="1" x14ac:dyDescent="0.2">
      <c r="B78" s="2"/>
      <c r="C78" s="1"/>
      <c r="D78" s="19" t="s">
        <v>0</v>
      </c>
      <c r="E78" s="20" t="s">
        <v>63</v>
      </c>
      <c r="F78" s="20" t="s">
        <v>64</v>
      </c>
      <c r="G78" s="19" t="s">
        <v>37</v>
      </c>
      <c r="H78" s="21"/>
      <c r="I78" s="20">
        <v>5</v>
      </c>
      <c r="J78" s="20">
        <f t="shared" si="17"/>
        <v>0</v>
      </c>
      <c r="K78" s="19">
        <v>0</v>
      </c>
      <c r="L78" s="19">
        <v>0</v>
      </c>
      <c r="M78" s="33"/>
      <c r="N78" s="20">
        <v>5</v>
      </c>
      <c r="O78" s="20">
        <f t="shared" si="18"/>
        <v>0</v>
      </c>
      <c r="P78" s="19">
        <v>0</v>
      </c>
      <c r="Q78" s="19">
        <v>0</v>
      </c>
      <c r="R78" s="21"/>
      <c r="S78" s="20">
        <v>5</v>
      </c>
      <c r="T78" s="20">
        <f t="shared" si="19"/>
        <v>0</v>
      </c>
      <c r="U78" s="19">
        <v>0</v>
      </c>
      <c r="V78" s="19">
        <v>0</v>
      </c>
      <c r="W78" s="21"/>
      <c r="X78" s="20">
        <v>5</v>
      </c>
      <c r="Y78" s="20">
        <f t="shared" si="20"/>
        <v>0</v>
      </c>
      <c r="Z78" s="19">
        <v>0</v>
      </c>
      <c r="AA78" s="19">
        <v>0</v>
      </c>
      <c r="AB78" s="21"/>
    </row>
    <row r="79" spans="1:28" ht="17" customHeight="1" outlineLevel="1" x14ac:dyDescent="0.2">
      <c r="B79" s="2"/>
      <c r="C79" s="1"/>
      <c r="D79" s="19" t="s">
        <v>16</v>
      </c>
      <c r="E79" s="19">
        <f>SUM(P82,K82)</f>
        <v>0</v>
      </c>
      <c r="F79" s="19">
        <f>SUM(Q82,L82)</f>
        <v>86</v>
      </c>
      <c r="G79" s="19">
        <f>SUM(E79:F79)</f>
        <v>86</v>
      </c>
      <c r="H79" s="21"/>
      <c r="I79" s="20">
        <v>6</v>
      </c>
      <c r="J79" s="20">
        <f t="shared" si="17"/>
        <v>0</v>
      </c>
      <c r="K79" s="19">
        <v>0</v>
      </c>
      <c r="L79" s="19">
        <v>0</v>
      </c>
      <c r="M79" s="33"/>
      <c r="N79" s="20">
        <v>6</v>
      </c>
      <c r="O79" s="20">
        <f t="shared" si="18"/>
        <v>0</v>
      </c>
      <c r="P79" s="19">
        <v>0</v>
      </c>
      <c r="Q79" s="19">
        <v>0</v>
      </c>
      <c r="R79" s="21"/>
      <c r="S79" s="20">
        <v>6</v>
      </c>
      <c r="T79" s="20">
        <f t="shared" si="19"/>
        <v>0</v>
      </c>
      <c r="U79" s="19">
        <v>0</v>
      </c>
      <c r="V79" s="19">
        <v>0</v>
      </c>
      <c r="W79" s="21"/>
      <c r="X79" s="20">
        <v>6</v>
      </c>
      <c r="Y79" s="20">
        <f t="shared" si="20"/>
        <v>0</v>
      </c>
      <c r="Z79" s="19">
        <v>0</v>
      </c>
      <c r="AA79" s="19">
        <v>0</v>
      </c>
      <c r="AB79" s="21"/>
    </row>
    <row r="80" spans="1:28" outlineLevel="1" x14ac:dyDescent="0.2">
      <c r="B80" s="2"/>
      <c r="C80" s="1"/>
      <c r="D80" s="19" t="s">
        <v>17</v>
      </c>
      <c r="E80" s="19">
        <v>0</v>
      </c>
      <c r="F80" s="19">
        <v>102</v>
      </c>
      <c r="G80" s="19">
        <f>SUM(E80:F80)</f>
        <v>102</v>
      </c>
      <c r="H80" s="21"/>
      <c r="I80" s="20">
        <v>7</v>
      </c>
      <c r="J80" s="20">
        <f t="shared" si="17"/>
        <v>0</v>
      </c>
      <c r="K80" s="19">
        <v>0</v>
      </c>
      <c r="L80" s="19">
        <v>0</v>
      </c>
      <c r="M80" s="33"/>
      <c r="N80" s="20">
        <v>7</v>
      </c>
      <c r="O80" s="20">
        <f t="shared" si="18"/>
        <v>0</v>
      </c>
      <c r="P80" s="19">
        <v>0</v>
      </c>
      <c r="Q80" s="19">
        <v>0</v>
      </c>
      <c r="R80" s="21"/>
      <c r="S80" s="20">
        <v>7</v>
      </c>
      <c r="T80" s="20">
        <f t="shared" si="19"/>
        <v>0</v>
      </c>
      <c r="U80" s="19">
        <v>0</v>
      </c>
      <c r="V80" s="19">
        <v>0</v>
      </c>
      <c r="W80" s="21"/>
      <c r="X80" s="20">
        <v>7</v>
      </c>
      <c r="Y80" s="20">
        <f t="shared" si="20"/>
        <v>0</v>
      </c>
      <c r="Z80" s="19">
        <v>0</v>
      </c>
      <c r="AA80" s="19">
        <v>0</v>
      </c>
      <c r="AB80" s="21"/>
    </row>
    <row r="81" spans="2:28" outlineLevel="1" x14ac:dyDescent="0.2">
      <c r="B81" s="2"/>
      <c r="C81" s="1"/>
      <c r="D81" s="19" t="s">
        <v>40</v>
      </c>
      <c r="E81" s="22"/>
      <c r="F81" s="22">
        <f>MIN(F79,F80)/MAX(F79,F80)</f>
        <v>0.84313725490196079</v>
      </c>
      <c r="G81" s="22">
        <f>MIN(G79,G80)/MAX(G79,G80)</f>
        <v>0.84313725490196079</v>
      </c>
      <c r="H81" s="21"/>
      <c r="I81" s="19" t="s">
        <v>10</v>
      </c>
      <c r="J81" s="20">
        <f t="shared" si="17"/>
        <v>1</v>
      </c>
      <c r="K81" s="19">
        <v>0</v>
      </c>
      <c r="L81" s="19">
        <v>1</v>
      </c>
      <c r="M81" s="33"/>
      <c r="N81" s="19" t="s">
        <v>10</v>
      </c>
      <c r="O81" s="20">
        <f t="shared" si="18"/>
        <v>3</v>
      </c>
      <c r="P81" s="19">
        <v>0</v>
      </c>
      <c r="Q81" s="19">
        <v>3</v>
      </c>
      <c r="R81" s="21"/>
      <c r="S81" s="19" t="s">
        <v>10</v>
      </c>
      <c r="T81" s="20">
        <f t="shared" si="19"/>
        <v>0</v>
      </c>
      <c r="U81" s="19">
        <v>0</v>
      </c>
      <c r="V81" s="19">
        <v>0</v>
      </c>
      <c r="W81" s="21"/>
      <c r="X81" s="19" t="s">
        <v>10</v>
      </c>
      <c r="Y81" s="20">
        <f t="shared" si="20"/>
        <v>0</v>
      </c>
      <c r="Z81" s="19">
        <v>0</v>
      </c>
      <c r="AA81" s="19">
        <v>0</v>
      </c>
      <c r="AB81" s="21"/>
    </row>
    <row r="82" spans="2:28" outlineLevel="1" x14ac:dyDescent="0.2">
      <c r="B82" s="2"/>
      <c r="C82" s="1"/>
      <c r="D82" s="38"/>
      <c r="E82" s="38"/>
      <c r="F82" s="38"/>
      <c r="G82" s="38"/>
      <c r="I82" s="19" t="s">
        <v>13</v>
      </c>
      <c r="J82" s="19">
        <f>(SUM(J74:J81))</f>
        <v>26</v>
      </c>
      <c r="K82" s="19">
        <f>(SUM(K74:K81))</f>
        <v>0</v>
      </c>
      <c r="L82" s="19">
        <f>(SUM(L74:L81))</f>
        <v>26</v>
      </c>
      <c r="M82" s="33"/>
      <c r="N82" s="19" t="s">
        <v>13</v>
      </c>
      <c r="O82" s="19">
        <f>(SUM(O74:O81))</f>
        <v>60</v>
      </c>
      <c r="P82" s="19">
        <f>(SUM(P74:P81))</f>
        <v>0</v>
      </c>
      <c r="Q82" s="19">
        <f>(SUM(Q74:Q81))</f>
        <v>60</v>
      </c>
      <c r="R82" s="21"/>
      <c r="S82" s="19" t="s">
        <v>13</v>
      </c>
      <c r="T82" s="19">
        <f>(SUM(T74:T81))</f>
        <v>47</v>
      </c>
      <c r="U82" s="19">
        <f>(SUM(U74:U81))</f>
        <v>0</v>
      </c>
      <c r="V82" s="19">
        <f>(SUM(V74:V81))</f>
        <v>47</v>
      </c>
      <c r="W82" s="21"/>
      <c r="X82" s="19" t="s">
        <v>13</v>
      </c>
      <c r="Y82" s="19">
        <f>(SUM(Y74:Y81))</f>
        <v>12</v>
      </c>
      <c r="Z82" s="19">
        <f>(SUM(Z74:Z81))</f>
        <v>0</v>
      </c>
      <c r="AA82" s="19">
        <f>(SUM(AA74:AA81))</f>
        <v>12</v>
      </c>
      <c r="AB82" s="21"/>
    </row>
    <row r="83" spans="2:28" outlineLevel="1" x14ac:dyDescent="0.2">
      <c r="B83" s="2"/>
      <c r="C83" s="1"/>
      <c r="I83" s="38"/>
      <c r="J83" s="38"/>
      <c r="K83" s="38"/>
      <c r="L83" s="38"/>
      <c r="M83" s="1"/>
      <c r="N83" s="38"/>
      <c r="O83" s="38"/>
      <c r="P83" s="38"/>
      <c r="Q83" s="38"/>
      <c r="S83" s="38"/>
      <c r="T83" s="38"/>
      <c r="U83" s="38"/>
      <c r="V83" s="38"/>
      <c r="X83" s="38"/>
      <c r="Y83" s="38"/>
      <c r="Z83" s="38"/>
      <c r="AA83" s="38"/>
    </row>
    <row r="84" spans="2:28" x14ac:dyDescent="0.2">
      <c r="B84" s="2"/>
      <c r="C84" s="1"/>
      <c r="D84" s="1"/>
      <c r="E84" s="1"/>
      <c r="F84" s="1"/>
      <c r="G84" s="1"/>
      <c r="H84" s="1"/>
      <c r="I84" s="1"/>
      <c r="J84" s="1"/>
      <c r="K84" s="1"/>
      <c r="L84" s="1"/>
      <c r="M84" s="1"/>
    </row>
    <row r="85" spans="2:28" ht="16" x14ac:dyDescent="0.2">
      <c r="B85" s="13"/>
      <c r="C85" s="1"/>
      <c r="I85" s="20" t="s">
        <v>77</v>
      </c>
      <c r="J85" s="20">
        <v>1</v>
      </c>
      <c r="K85" s="20" t="s">
        <v>12</v>
      </c>
      <c r="L85" s="20" t="s">
        <v>15</v>
      </c>
      <c r="M85" s="33"/>
      <c r="N85" s="20" t="s">
        <v>77</v>
      </c>
      <c r="O85" s="20">
        <v>2</v>
      </c>
      <c r="P85" s="20" t="s">
        <v>12</v>
      </c>
      <c r="Q85" s="20" t="s">
        <v>14</v>
      </c>
      <c r="R85" s="21"/>
      <c r="S85" s="20" t="s">
        <v>77</v>
      </c>
      <c r="T85" s="20">
        <v>3</v>
      </c>
      <c r="U85" s="20" t="s">
        <v>12</v>
      </c>
      <c r="V85" s="20" t="s">
        <v>14</v>
      </c>
      <c r="W85" s="21"/>
      <c r="X85" s="20" t="s">
        <v>77</v>
      </c>
      <c r="Y85" s="20">
        <v>4</v>
      </c>
      <c r="Z85" s="20" t="s">
        <v>12</v>
      </c>
      <c r="AA85" s="20" t="s">
        <v>14</v>
      </c>
      <c r="AB85" s="21"/>
    </row>
    <row r="86" spans="2:28" ht="19" customHeight="1" outlineLevel="1" x14ac:dyDescent="0.2">
      <c r="B86" s="14" t="s">
        <v>36</v>
      </c>
      <c r="C86" s="1"/>
      <c r="I86" s="19" t="s">
        <v>11</v>
      </c>
      <c r="J86" s="35" t="s">
        <v>8</v>
      </c>
      <c r="K86" s="19"/>
      <c r="L86" s="19"/>
      <c r="M86" s="33"/>
      <c r="N86" s="19" t="s">
        <v>11</v>
      </c>
      <c r="O86" s="35" t="s">
        <v>6</v>
      </c>
      <c r="P86" s="19"/>
      <c r="Q86" s="19"/>
      <c r="R86" s="21"/>
      <c r="S86" s="19" t="s">
        <v>11</v>
      </c>
      <c r="T86" s="35" t="s">
        <v>5</v>
      </c>
      <c r="U86" s="19"/>
      <c r="V86" s="19"/>
      <c r="W86" s="21"/>
      <c r="X86" s="19" t="s">
        <v>11</v>
      </c>
      <c r="Y86" s="35" t="s">
        <v>7</v>
      </c>
      <c r="Z86" s="19"/>
      <c r="AA86" s="19"/>
      <c r="AB86" s="21"/>
    </row>
    <row r="87" spans="2:28" ht="20" customHeight="1" outlineLevel="1" x14ac:dyDescent="0.2">
      <c r="B87" s="2"/>
      <c r="C87" s="1"/>
      <c r="D87" s="19"/>
      <c r="E87" s="19" t="s">
        <v>60</v>
      </c>
      <c r="F87" s="20" t="s">
        <v>61</v>
      </c>
      <c r="G87" s="19" t="s">
        <v>43</v>
      </c>
      <c r="H87" s="21"/>
      <c r="I87" s="20" t="s">
        <v>9</v>
      </c>
      <c r="J87" s="20" t="s">
        <v>66</v>
      </c>
      <c r="K87" s="20" t="s">
        <v>60</v>
      </c>
      <c r="L87" s="20" t="s">
        <v>62</v>
      </c>
      <c r="M87" s="33"/>
      <c r="N87" s="20" t="s">
        <v>9</v>
      </c>
      <c r="O87" s="20" t="s">
        <v>66</v>
      </c>
      <c r="P87" s="20" t="s">
        <v>60</v>
      </c>
      <c r="Q87" s="20" t="s">
        <v>62</v>
      </c>
      <c r="R87" s="21"/>
      <c r="S87" s="20" t="s">
        <v>9</v>
      </c>
      <c r="T87" s="20" t="s">
        <v>66</v>
      </c>
      <c r="U87" s="20" t="s">
        <v>60</v>
      </c>
      <c r="V87" s="20" t="s">
        <v>62</v>
      </c>
      <c r="W87" s="21"/>
      <c r="X87" s="20" t="s">
        <v>9</v>
      </c>
      <c r="Y87" s="20" t="s">
        <v>66</v>
      </c>
      <c r="Z87" s="20" t="s">
        <v>60</v>
      </c>
      <c r="AA87" s="20" t="s">
        <v>62</v>
      </c>
      <c r="AB87" s="21"/>
    </row>
    <row r="88" spans="2:28" ht="17" customHeight="1" outlineLevel="1" x14ac:dyDescent="0.2">
      <c r="B88" s="2"/>
      <c r="C88" s="1"/>
      <c r="D88" s="19" t="s">
        <v>16</v>
      </c>
      <c r="E88" s="19">
        <f>SUM(K96,P96,U96,Z96,AE96,AJ96,AO96)</f>
        <v>169</v>
      </c>
      <c r="F88" s="19">
        <f>SUM(L96,Q96,V96,AA96,AF96,AK96,AP96)</f>
        <v>22</v>
      </c>
      <c r="G88" s="19">
        <f>SUM(E88:F88)</f>
        <v>191</v>
      </c>
      <c r="H88" s="21"/>
      <c r="I88" s="20">
        <v>1</v>
      </c>
      <c r="J88" s="20">
        <f>SUM(K88,L88)</f>
        <v>9</v>
      </c>
      <c r="K88" s="20">
        <v>0</v>
      </c>
      <c r="L88" s="20">
        <v>9</v>
      </c>
      <c r="M88" s="33"/>
      <c r="N88" s="20">
        <v>1</v>
      </c>
      <c r="O88" s="20">
        <f t="shared" ref="O88:O93" si="21">SUM(P88,Q88)</f>
        <v>6</v>
      </c>
      <c r="P88" s="20">
        <v>6</v>
      </c>
      <c r="Q88" s="20">
        <v>0</v>
      </c>
      <c r="R88" s="21"/>
      <c r="S88" s="20">
        <v>1</v>
      </c>
      <c r="T88" s="20">
        <f>SUM(U88,V88)</f>
        <v>9</v>
      </c>
      <c r="U88" s="20">
        <v>9</v>
      </c>
      <c r="V88" s="20">
        <v>0</v>
      </c>
      <c r="W88" s="21"/>
      <c r="X88" s="20">
        <v>1</v>
      </c>
      <c r="Y88" s="20">
        <f>SUM(Z88,AA88)</f>
        <v>5</v>
      </c>
      <c r="Z88" s="20">
        <v>5</v>
      </c>
      <c r="AA88" s="20">
        <v>0</v>
      </c>
      <c r="AB88" s="21"/>
    </row>
    <row r="89" spans="2:28" ht="20" customHeight="1" outlineLevel="1" x14ac:dyDescent="0.2">
      <c r="B89" s="2"/>
      <c r="C89" s="1"/>
      <c r="D89" s="19" t="s">
        <v>17</v>
      </c>
      <c r="E89" s="19">
        <v>124</v>
      </c>
      <c r="F89" s="19">
        <v>62</v>
      </c>
      <c r="G89" s="19">
        <f>SUM(E89:F89)</f>
        <v>186</v>
      </c>
      <c r="H89" s="21"/>
      <c r="I89" s="19">
        <v>2</v>
      </c>
      <c r="J89" s="20">
        <f t="shared" ref="J89:J95" si="22">SUM(K89,L89)</f>
        <v>11</v>
      </c>
      <c r="K89" s="19">
        <v>11</v>
      </c>
      <c r="L89" s="19">
        <v>0</v>
      </c>
      <c r="M89" s="33"/>
      <c r="N89" s="19">
        <v>2</v>
      </c>
      <c r="O89" s="20">
        <f t="shared" si="21"/>
        <v>6</v>
      </c>
      <c r="P89" s="19">
        <v>6</v>
      </c>
      <c r="Q89" s="19">
        <v>0</v>
      </c>
      <c r="R89" s="21"/>
      <c r="S89" s="19">
        <v>2</v>
      </c>
      <c r="T89" s="20">
        <f t="shared" ref="T89:T95" si="23">SUM(U89,V89)</f>
        <v>9</v>
      </c>
      <c r="U89" s="19">
        <v>9</v>
      </c>
      <c r="V89" s="19">
        <v>0</v>
      </c>
      <c r="W89" s="21"/>
      <c r="X89" s="19">
        <v>2</v>
      </c>
      <c r="Y89" s="20">
        <f t="shared" ref="Y89:Y95" si="24">SUM(Z89,AA89)</f>
        <v>6</v>
      </c>
      <c r="Z89" s="19">
        <v>6</v>
      </c>
      <c r="AA89" s="19">
        <v>0</v>
      </c>
      <c r="AB89" s="21"/>
    </row>
    <row r="90" spans="2:28" outlineLevel="1" x14ac:dyDescent="0.2">
      <c r="B90" s="2"/>
      <c r="C90" s="1"/>
      <c r="D90" s="19" t="s">
        <v>40</v>
      </c>
      <c r="E90" s="22">
        <f>MIN(E88,E89)/MAX(E88,E89)</f>
        <v>0.73372781065088755</v>
      </c>
      <c r="F90" s="22">
        <f>MIN(F88,F89)/MAX(F88,F89)</f>
        <v>0.35483870967741937</v>
      </c>
      <c r="G90" s="22">
        <f>MIN(G88,G89)/MAX(G88,G89)</f>
        <v>0.97382198952879584</v>
      </c>
      <c r="H90" s="21"/>
      <c r="I90" s="19">
        <v>3</v>
      </c>
      <c r="J90" s="20">
        <f t="shared" si="22"/>
        <v>11</v>
      </c>
      <c r="K90" s="19">
        <v>11</v>
      </c>
      <c r="L90" s="19">
        <v>0</v>
      </c>
      <c r="M90" s="33"/>
      <c r="N90" s="19">
        <v>3</v>
      </c>
      <c r="O90" s="20">
        <f t="shared" si="21"/>
        <v>6</v>
      </c>
      <c r="P90" s="19">
        <v>6</v>
      </c>
      <c r="Q90" s="19">
        <v>0</v>
      </c>
      <c r="R90" s="21"/>
      <c r="S90" s="19">
        <v>3</v>
      </c>
      <c r="T90" s="20">
        <f t="shared" si="23"/>
        <v>9</v>
      </c>
      <c r="U90" s="19">
        <v>9</v>
      </c>
      <c r="V90" s="19">
        <v>0</v>
      </c>
      <c r="W90" s="21"/>
      <c r="X90" s="19">
        <v>3</v>
      </c>
      <c r="Y90" s="20">
        <f t="shared" si="24"/>
        <v>6</v>
      </c>
      <c r="Z90" s="19">
        <v>6</v>
      </c>
      <c r="AA90" s="19">
        <v>0</v>
      </c>
      <c r="AB90" s="21"/>
    </row>
    <row r="91" spans="2:28" ht="16" customHeight="1" outlineLevel="1" x14ac:dyDescent="0.2">
      <c r="B91" s="2"/>
      <c r="C91" s="1"/>
      <c r="D91" s="38"/>
      <c r="E91" s="38"/>
      <c r="F91" s="38"/>
      <c r="G91" s="38"/>
      <c r="I91" s="20">
        <v>4</v>
      </c>
      <c r="J91" s="20">
        <f t="shared" si="22"/>
        <v>11</v>
      </c>
      <c r="K91" s="19">
        <v>11</v>
      </c>
      <c r="L91" s="19">
        <v>0</v>
      </c>
      <c r="M91" s="33"/>
      <c r="N91" s="20">
        <v>4</v>
      </c>
      <c r="O91" s="20">
        <f t="shared" si="21"/>
        <v>6</v>
      </c>
      <c r="P91" s="19">
        <v>6</v>
      </c>
      <c r="Q91" s="19">
        <v>0</v>
      </c>
      <c r="R91" s="21"/>
      <c r="S91" s="20">
        <v>4</v>
      </c>
      <c r="T91" s="20">
        <f t="shared" si="23"/>
        <v>9</v>
      </c>
      <c r="U91" s="19">
        <v>9</v>
      </c>
      <c r="V91" s="19">
        <v>0</v>
      </c>
      <c r="W91" s="21"/>
      <c r="X91" s="20">
        <v>4</v>
      </c>
      <c r="Y91" s="20">
        <f t="shared" si="24"/>
        <v>6</v>
      </c>
      <c r="Z91" s="19">
        <v>6</v>
      </c>
      <c r="AA91" s="19">
        <v>0</v>
      </c>
      <c r="AB91" s="21"/>
    </row>
    <row r="92" spans="2:28" ht="14" customHeight="1" outlineLevel="1" x14ac:dyDescent="0.2">
      <c r="B92" s="2"/>
      <c r="C92" s="1"/>
      <c r="D92" s="19" t="s">
        <v>0</v>
      </c>
      <c r="E92" s="20" t="s">
        <v>63</v>
      </c>
      <c r="F92" s="20" t="s">
        <v>64</v>
      </c>
      <c r="G92" s="19" t="s">
        <v>37</v>
      </c>
      <c r="H92" s="21"/>
      <c r="I92" s="20">
        <v>5</v>
      </c>
      <c r="J92" s="20">
        <f t="shared" si="22"/>
        <v>11</v>
      </c>
      <c r="K92" s="19">
        <v>11</v>
      </c>
      <c r="L92" s="19">
        <v>0</v>
      </c>
      <c r="M92" s="33"/>
      <c r="N92" s="20">
        <v>5</v>
      </c>
      <c r="O92" s="20">
        <f t="shared" si="21"/>
        <v>6</v>
      </c>
      <c r="P92" s="19">
        <v>6</v>
      </c>
      <c r="Q92" s="19">
        <v>0</v>
      </c>
      <c r="R92" s="21"/>
      <c r="S92" s="20">
        <v>5</v>
      </c>
      <c r="T92" s="20">
        <f t="shared" si="23"/>
        <v>9</v>
      </c>
      <c r="U92" s="19">
        <v>9</v>
      </c>
      <c r="V92" s="19">
        <v>0</v>
      </c>
      <c r="W92" s="21"/>
      <c r="X92" s="20">
        <v>5</v>
      </c>
      <c r="Y92" s="20">
        <f t="shared" si="24"/>
        <v>6</v>
      </c>
      <c r="Z92" s="19">
        <v>6</v>
      </c>
      <c r="AA92" s="19">
        <v>0</v>
      </c>
      <c r="AB92" s="21"/>
    </row>
    <row r="93" spans="2:28" ht="17" customHeight="1" outlineLevel="1" x14ac:dyDescent="0.2">
      <c r="B93" s="2"/>
      <c r="C93" s="1"/>
      <c r="D93" s="19" t="s">
        <v>16</v>
      </c>
      <c r="E93" s="19">
        <f>SUM(K96)</f>
        <v>44</v>
      </c>
      <c r="F93" s="19">
        <f>SUM(L96)</f>
        <v>20</v>
      </c>
      <c r="G93" s="19">
        <f>SUM(E93:F93)</f>
        <v>64</v>
      </c>
      <c r="H93" s="21"/>
      <c r="I93" s="20">
        <v>6</v>
      </c>
      <c r="J93" s="20">
        <f t="shared" si="22"/>
        <v>7</v>
      </c>
      <c r="K93" s="19">
        <v>0</v>
      </c>
      <c r="L93" s="19">
        <v>7</v>
      </c>
      <c r="M93" s="33"/>
      <c r="N93" s="20">
        <v>6</v>
      </c>
      <c r="O93" s="20">
        <f t="shared" si="21"/>
        <v>6</v>
      </c>
      <c r="P93" s="19">
        <v>6</v>
      </c>
      <c r="Q93" s="19">
        <v>0</v>
      </c>
      <c r="R93" s="21"/>
      <c r="S93" s="20">
        <v>6</v>
      </c>
      <c r="T93" s="20">
        <f t="shared" si="23"/>
        <v>9</v>
      </c>
      <c r="U93" s="19">
        <v>9</v>
      </c>
      <c r="V93" s="19">
        <v>0</v>
      </c>
      <c r="W93" s="21"/>
      <c r="X93" s="20">
        <v>6</v>
      </c>
      <c r="Y93" s="20">
        <f t="shared" si="24"/>
        <v>6</v>
      </c>
      <c r="Z93" s="19">
        <v>6</v>
      </c>
      <c r="AA93" s="19">
        <v>0</v>
      </c>
      <c r="AB93" s="21"/>
    </row>
    <row r="94" spans="2:28" outlineLevel="1" x14ac:dyDescent="0.2">
      <c r="B94" s="2"/>
      <c r="C94" s="1"/>
      <c r="D94" s="19" t="s">
        <v>17</v>
      </c>
      <c r="E94" s="19">
        <v>34</v>
      </c>
      <c r="F94" s="19">
        <v>17</v>
      </c>
      <c r="G94" s="19">
        <f>SUM(E94:F94)</f>
        <v>51</v>
      </c>
      <c r="H94" s="21"/>
      <c r="I94" s="20">
        <v>7</v>
      </c>
      <c r="J94" s="20">
        <f t="shared" si="22"/>
        <v>0</v>
      </c>
      <c r="K94" s="19">
        <v>0</v>
      </c>
      <c r="L94" s="19">
        <v>0</v>
      </c>
      <c r="M94" s="33"/>
      <c r="N94" s="20">
        <v>7</v>
      </c>
      <c r="O94" s="20">
        <f>SUM(P94,Q94)</f>
        <v>0</v>
      </c>
      <c r="P94" s="19">
        <v>0</v>
      </c>
      <c r="Q94" s="19">
        <v>0</v>
      </c>
      <c r="R94" s="21"/>
      <c r="S94" s="20">
        <v>7</v>
      </c>
      <c r="T94" s="20">
        <f t="shared" si="23"/>
        <v>0</v>
      </c>
      <c r="U94" s="19">
        <v>0</v>
      </c>
      <c r="V94" s="19">
        <v>0</v>
      </c>
      <c r="W94" s="21"/>
      <c r="X94" s="20">
        <v>7</v>
      </c>
      <c r="Y94" s="20">
        <f t="shared" si="24"/>
        <v>0</v>
      </c>
      <c r="Z94" s="19">
        <v>0</v>
      </c>
      <c r="AA94" s="19">
        <v>0</v>
      </c>
      <c r="AB94" s="21"/>
    </row>
    <row r="95" spans="2:28" outlineLevel="1" x14ac:dyDescent="0.2">
      <c r="B95" s="2"/>
      <c r="C95" s="1"/>
      <c r="D95" s="19" t="s">
        <v>40</v>
      </c>
      <c r="E95" s="22">
        <f>MIN(E93,E94)/MAX(E93,E94)</f>
        <v>0.77272727272727271</v>
      </c>
      <c r="F95" s="22">
        <f>MIN(F93,F94)/MAX(F93,F94)</f>
        <v>0.85</v>
      </c>
      <c r="G95" s="22">
        <f>MIN(G93,G94)/MAX(G93,G94)</f>
        <v>0.796875</v>
      </c>
      <c r="H95" s="21"/>
      <c r="I95" s="19" t="s">
        <v>10</v>
      </c>
      <c r="J95" s="20">
        <f t="shared" si="22"/>
        <v>4</v>
      </c>
      <c r="K95" s="19">
        <v>0</v>
      </c>
      <c r="L95" s="19">
        <v>4</v>
      </c>
      <c r="M95" s="33"/>
      <c r="N95" s="19" t="s">
        <v>10</v>
      </c>
      <c r="O95" s="20">
        <f>SUM(P95,Q95)</f>
        <v>2</v>
      </c>
      <c r="P95" s="19">
        <v>0</v>
      </c>
      <c r="Q95" s="19">
        <v>2</v>
      </c>
      <c r="R95" s="21"/>
      <c r="S95" s="19" t="s">
        <v>10</v>
      </c>
      <c r="T95" s="20">
        <f t="shared" si="23"/>
        <v>0</v>
      </c>
      <c r="U95" s="19">
        <v>0</v>
      </c>
      <c r="V95" s="19">
        <v>0</v>
      </c>
      <c r="W95" s="21"/>
      <c r="X95" s="19" t="s">
        <v>10</v>
      </c>
      <c r="Y95" s="20">
        <f t="shared" si="24"/>
        <v>0</v>
      </c>
      <c r="Z95" s="19">
        <v>0</v>
      </c>
      <c r="AA95" s="19">
        <v>0</v>
      </c>
      <c r="AB95" s="21"/>
    </row>
    <row r="96" spans="2:28" outlineLevel="1" x14ac:dyDescent="0.2">
      <c r="B96" s="2"/>
      <c r="C96" s="1"/>
      <c r="D96" s="38"/>
      <c r="E96" s="38"/>
      <c r="F96" s="38"/>
      <c r="G96" s="38"/>
      <c r="I96" s="19" t="s">
        <v>13</v>
      </c>
      <c r="J96" s="19">
        <f>(SUM(J88:J95))</f>
        <v>64</v>
      </c>
      <c r="K96" s="19">
        <f>(SUM(K88:K95))</f>
        <v>44</v>
      </c>
      <c r="L96" s="19">
        <f>(SUM(L88:L95))</f>
        <v>20</v>
      </c>
      <c r="M96" s="33"/>
      <c r="N96" s="19" t="s">
        <v>13</v>
      </c>
      <c r="O96" s="19">
        <f>(SUM(O88:O95))</f>
        <v>38</v>
      </c>
      <c r="P96" s="19">
        <f>(SUM(P88:P95))</f>
        <v>36</v>
      </c>
      <c r="Q96" s="19">
        <f>(SUM(Q88:Q95))</f>
        <v>2</v>
      </c>
      <c r="R96" s="21"/>
      <c r="S96" s="19" t="s">
        <v>13</v>
      </c>
      <c r="T96" s="19">
        <f>(SUM(T88:T95))</f>
        <v>54</v>
      </c>
      <c r="U96" s="19">
        <f>(SUM(U88:U95))</f>
        <v>54</v>
      </c>
      <c r="V96" s="19">
        <f>(SUM(V88:V95))</f>
        <v>0</v>
      </c>
      <c r="W96" s="21"/>
      <c r="X96" s="19" t="s">
        <v>13</v>
      </c>
      <c r="Y96" s="19">
        <f>(SUM(Y88:Y95))</f>
        <v>35</v>
      </c>
      <c r="Z96" s="19">
        <f>(SUM(Z88:Z95))</f>
        <v>35</v>
      </c>
      <c r="AA96" s="19">
        <f>(SUM(AA88:AA95))</f>
        <v>0</v>
      </c>
      <c r="AB96" s="21"/>
    </row>
    <row r="97" spans="2:28" outlineLevel="1" x14ac:dyDescent="0.2">
      <c r="B97" s="2"/>
      <c r="C97" s="1"/>
      <c r="I97" s="38"/>
      <c r="J97" s="38"/>
      <c r="K97" s="38"/>
      <c r="L97" s="38"/>
      <c r="M97" s="1"/>
      <c r="N97" s="38"/>
      <c r="O97" s="38"/>
      <c r="P97" s="38"/>
      <c r="Q97" s="38"/>
      <c r="S97" s="38"/>
      <c r="T97" s="38"/>
      <c r="U97" s="38"/>
      <c r="V97" s="38"/>
      <c r="X97" s="38"/>
      <c r="Y97" s="38"/>
      <c r="Z97" s="38"/>
      <c r="AA97" s="38"/>
    </row>
    <row r="98" spans="2:28" x14ac:dyDescent="0.2">
      <c r="B98" s="2"/>
      <c r="C98" s="1"/>
      <c r="D98" s="1"/>
      <c r="E98" s="1"/>
      <c r="F98" s="1"/>
      <c r="G98" s="1"/>
      <c r="H98" s="1"/>
      <c r="I98" s="1"/>
      <c r="J98" s="1"/>
      <c r="K98" s="1"/>
      <c r="L98" s="1"/>
      <c r="M98" s="1"/>
    </row>
    <row r="99" spans="2:28" ht="16" x14ac:dyDescent="0.2">
      <c r="B99" s="2">
        <v>6</v>
      </c>
      <c r="C99" s="1"/>
      <c r="I99" s="20" t="s">
        <v>77</v>
      </c>
      <c r="J99" s="20">
        <v>1</v>
      </c>
      <c r="K99" s="20" t="s">
        <v>12</v>
      </c>
      <c r="L99" s="20" t="s">
        <v>15</v>
      </c>
      <c r="M99" s="33"/>
      <c r="N99" s="20" t="s">
        <v>77</v>
      </c>
      <c r="O99" s="20">
        <v>2</v>
      </c>
      <c r="P99" s="20" t="s">
        <v>12</v>
      </c>
      <c r="Q99" s="20" t="s">
        <v>15</v>
      </c>
      <c r="R99" s="21"/>
      <c r="S99" s="20" t="s">
        <v>77</v>
      </c>
      <c r="T99" s="20">
        <v>3</v>
      </c>
      <c r="U99" s="20" t="s">
        <v>12</v>
      </c>
      <c r="V99" s="20" t="s">
        <v>14</v>
      </c>
      <c r="W99" s="21"/>
      <c r="X99" s="20" t="s">
        <v>77</v>
      </c>
      <c r="Y99" s="20">
        <v>4</v>
      </c>
      <c r="Z99" s="20" t="s">
        <v>12</v>
      </c>
      <c r="AA99" s="20" t="s">
        <v>14</v>
      </c>
      <c r="AB99" s="21"/>
    </row>
    <row r="100" spans="2:28" x14ac:dyDescent="0.2">
      <c r="B100" s="2"/>
      <c r="C100" s="1"/>
      <c r="I100" s="19" t="s">
        <v>11</v>
      </c>
      <c r="J100" s="35" t="s">
        <v>5</v>
      </c>
      <c r="K100" s="19"/>
      <c r="L100" s="19"/>
      <c r="M100" s="33"/>
      <c r="N100" s="19" t="s">
        <v>11</v>
      </c>
      <c r="O100" s="35" t="s">
        <v>8</v>
      </c>
      <c r="P100" s="19"/>
      <c r="Q100" s="19"/>
      <c r="R100" s="21"/>
      <c r="S100" s="19" t="s">
        <v>11</v>
      </c>
      <c r="T100" s="35" t="s">
        <v>7</v>
      </c>
      <c r="U100" s="19"/>
      <c r="V100" s="19"/>
      <c r="W100" s="21"/>
      <c r="X100" s="19" t="s">
        <v>11</v>
      </c>
      <c r="Y100" s="35" t="s">
        <v>6</v>
      </c>
      <c r="Z100" s="19"/>
      <c r="AA100" s="19"/>
      <c r="AB100" s="21"/>
    </row>
    <row r="101" spans="2:28" ht="18" customHeight="1" x14ac:dyDescent="0.2">
      <c r="B101" s="2"/>
      <c r="C101" s="1"/>
      <c r="D101" s="19"/>
      <c r="E101" s="19" t="s">
        <v>60</v>
      </c>
      <c r="F101" s="20" t="s">
        <v>61</v>
      </c>
      <c r="G101" s="19" t="s">
        <v>43</v>
      </c>
      <c r="H101" s="21"/>
      <c r="I101" s="20" t="s">
        <v>9</v>
      </c>
      <c r="J101" s="20" t="s">
        <v>66</v>
      </c>
      <c r="K101" s="20" t="s">
        <v>60</v>
      </c>
      <c r="L101" s="20" t="s">
        <v>62</v>
      </c>
      <c r="M101" s="33"/>
      <c r="N101" s="20" t="s">
        <v>9</v>
      </c>
      <c r="O101" s="20" t="s">
        <v>66</v>
      </c>
      <c r="P101" s="20" t="s">
        <v>60</v>
      </c>
      <c r="Q101" s="20" t="s">
        <v>62</v>
      </c>
      <c r="R101" s="21"/>
      <c r="S101" s="20" t="s">
        <v>9</v>
      </c>
      <c r="T101" s="20" t="s">
        <v>66</v>
      </c>
      <c r="U101" s="20" t="s">
        <v>60</v>
      </c>
      <c r="V101" s="20" t="s">
        <v>62</v>
      </c>
      <c r="W101" s="21"/>
      <c r="X101" s="20" t="s">
        <v>9</v>
      </c>
      <c r="Y101" s="20" t="s">
        <v>66</v>
      </c>
      <c r="Z101" s="20" t="s">
        <v>60</v>
      </c>
      <c r="AA101" s="20" t="s">
        <v>62</v>
      </c>
      <c r="AB101" s="21"/>
    </row>
    <row r="102" spans="2:28" x14ac:dyDescent="0.2">
      <c r="B102" s="2"/>
      <c r="C102" s="1"/>
      <c r="D102" s="19" t="s">
        <v>16</v>
      </c>
      <c r="E102" s="19">
        <f>SUM(K110,P110,U110,Z110,K123,AJ110,AO110)</f>
        <v>0</v>
      </c>
      <c r="F102" s="19">
        <f>SUM(L110,Q110,V110,AA110,L123,AK110,AP110)</f>
        <v>138</v>
      </c>
      <c r="G102" s="19">
        <f>SUM(E102:F102)</f>
        <v>138</v>
      </c>
      <c r="H102" s="21"/>
      <c r="I102" s="20">
        <v>1</v>
      </c>
      <c r="J102" s="20">
        <f>SUM(K102,L102)</f>
        <v>11</v>
      </c>
      <c r="K102" s="20">
        <v>0</v>
      </c>
      <c r="L102" s="20">
        <v>11</v>
      </c>
      <c r="M102" s="33"/>
      <c r="N102" s="20">
        <v>1</v>
      </c>
      <c r="O102" s="20">
        <f>SUM(P102,Q102)</f>
        <v>4</v>
      </c>
      <c r="P102" s="20">
        <v>0</v>
      </c>
      <c r="Q102" s="20">
        <v>4</v>
      </c>
      <c r="R102" s="21"/>
      <c r="S102" s="20">
        <v>1</v>
      </c>
      <c r="T102" s="20">
        <f>SUM(U102,V102)</f>
        <v>0</v>
      </c>
      <c r="U102" s="20">
        <v>0</v>
      </c>
      <c r="V102" s="20">
        <v>0</v>
      </c>
      <c r="W102" s="21"/>
      <c r="X102" s="20">
        <v>1</v>
      </c>
      <c r="Y102" s="20">
        <f>SUM(Z102,AA102)</f>
        <v>0</v>
      </c>
      <c r="Z102" s="20">
        <v>0</v>
      </c>
      <c r="AA102" s="20"/>
      <c r="AB102" s="21"/>
    </row>
    <row r="103" spans="2:28" ht="18" customHeight="1" x14ac:dyDescent="0.2">
      <c r="B103" s="2"/>
      <c r="C103" s="1"/>
      <c r="D103" s="19" t="s">
        <v>17</v>
      </c>
      <c r="E103" s="19">
        <v>0</v>
      </c>
      <c r="F103" s="19">
        <v>136</v>
      </c>
      <c r="G103" s="19">
        <f>SUM(E103:F103)</f>
        <v>136</v>
      </c>
      <c r="H103" s="21"/>
      <c r="I103" s="19">
        <v>2</v>
      </c>
      <c r="J103" s="20">
        <f t="shared" ref="J103:J109" si="25">SUM(K103,L103)</f>
        <v>17</v>
      </c>
      <c r="K103" s="19">
        <v>0</v>
      </c>
      <c r="L103" s="19">
        <v>17</v>
      </c>
      <c r="M103" s="33"/>
      <c r="N103" s="19">
        <v>2</v>
      </c>
      <c r="O103" s="20">
        <f t="shared" ref="O103:O109" si="26">SUM(P103,Q103)</f>
        <v>9</v>
      </c>
      <c r="P103" s="19">
        <v>0</v>
      </c>
      <c r="Q103" s="19">
        <v>9</v>
      </c>
      <c r="R103" s="21"/>
      <c r="S103" s="19">
        <v>2</v>
      </c>
      <c r="T103" s="20">
        <f t="shared" ref="T103:T109" si="27">SUM(U103,V103)</f>
        <v>7</v>
      </c>
      <c r="U103" s="19">
        <v>0</v>
      </c>
      <c r="V103" s="19">
        <v>7</v>
      </c>
      <c r="W103" s="21"/>
      <c r="X103" s="19">
        <v>2</v>
      </c>
      <c r="Y103" s="20">
        <f t="shared" ref="Y103:Y109" si="28">SUM(Z103,AA103)</f>
        <v>4</v>
      </c>
      <c r="Z103" s="19">
        <v>0</v>
      </c>
      <c r="AA103" s="19">
        <v>4</v>
      </c>
      <c r="AB103" s="21"/>
    </row>
    <row r="104" spans="2:28" x14ac:dyDescent="0.2">
      <c r="B104" s="2"/>
      <c r="C104" s="1"/>
      <c r="D104" s="19" t="s">
        <v>40</v>
      </c>
      <c r="E104" s="22"/>
      <c r="F104" s="22">
        <f>MIN(F102,F103)/MAX(F102,F103)</f>
        <v>0.98550724637681164</v>
      </c>
      <c r="G104" s="22">
        <f>MIN(G102,G103)/MAX(G102,G103)</f>
        <v>0.98550724637681164</v>
      </c>
      <c r="H104" s="21"/>
      <c r="I104" s="19">
        <v>3</v>
      </c>
      <c r="J104" s="20">
        <f t="shared" si="25"/>
        <v>17</v>
      </c>
      <c r="K104" s="19">
        <v>0</v>
      </c>
      <c r="L104" s="19">
        <v>17</v>
      </c>
      <c r="M104" s="33"/>
      <c r="N104" s="19">
        <v>3</v>
      </c>
      <c r="O104" s="20">
        <f t="shared" si="26"/>
        <v>9</v>
      </c>
      <c r="P104" s="19">
        <v>0</v>
      </c>
      <c r="Q104" s="19">
        <v>9</v>
      </c>
      <c r="R104" s="21"/>
      <c r="S104" s="19">
        <v>3</v>
      </c>
      <c r="T104" s="20">
        <f t="shared" si="27"/>
        <v>7</v>
      </c>
      <c r="U104" s="19">
        <v>0</v>
      </c>
      <c r="V104" s="19">
        <v>7</v>
      </c>
      <c r="W104" s="21"/>
      <c r="X104" s="19">
        <v>3</v>
      </c>
      <c r="Y104" s="20">
        <f t="shared" si="28"/>
        <v>4</v>
      </c>
      <c r="Z104" s="19">
        <v>0</v>
      </c>
      <c r="AA104" s="19">
        <v>4</v>
      </c>
      <c r="AB104" s="21"/>
    </row>
    <row r="105" spans="2:28" x14ac:dyDescent="0.2">
      <c r="B105" s="2"/>
      <c r="C105" s="1"/>
      <c r="D105" s="38"/>
      <c r="E105" s="38"/>
      <c r="F105" s="38"/>
      <c r="G105" s="38"/>
      <c r="I105" s="20">
        <v>4</v>
      </c>
      <c r="J105" s="20">
        <f t="shared" si="25"/>
        <v>15</v>
      </c>
      <c r="K105" s="19">
        <v>0</v>
      </c>
      <c r="L105" s="19">
        <v>15</v>
      </c>
      <c r="M105" s="33"/>
      <c r="N105" s="20">
        <v>4</v>
      </c>
      <c r="O105" s="20">
        <f t="shared" si="26"/>
        <v>8</v>
      </c>
      <c r="P105" s="19">
        <v>0</v>
      </c>
      <c r="Q105" s="19">
        <v>8</v>
      </c>
      <c r="R105" s="21"/>
      <c r="S105" s="20">
        <v>4</v>
      </c>
      <c r="T105" s="20">
        <f t="shared" si="27"/>
        <v>7</v>
      </c>
      <c r="U105" s="19">
        <v>0</v>
      </c>
      <c r="V105" s="19">
        <v>7</v>
      </c>
      <c r="W105" s="21"/>
      <c r="X105" s="20">
        <v>4</v>
      </c>
      <c r="Y105" s="20">
        <f t="shared" si="28"/>
        <v>4</v>
      </c>
      <c r="Z105" s="19">
        <v>0</v>
      </c>
      <c r="AA105" s="19">
        <v>4</v>
      </c>
      <c r="AB105" s="21"/>
    </row>
    <row r="106" spans="2:28" ht="17" customHeight="1" x14ac:dyDescent="0.2">
      <c r="B106" s="2"/>
      <c r="C106" s="1"/>
      <c r="D106" s="19" t="s">
        <v>0</v>
      </c>
      <c r="E106" s="20" t="s">
        <v>63</v>
      </c>
      <c r="F106" s="20" t="s">
        <v>64</v>
      </c>
      <c r="G106" s="19" t="s">
        <v>37</v>
      </c>
      <c r="H106" s="21"/>
      <c r="I106" s="20">
        <v>5</v>
      </c>
      <c r="J106" s="20">
        <f t="shared" si="25"/>
        <v>0</v>
      </c>
      <c r="K106" s="19">
        <v>0</v>
      </c>
      <c r="L106" s="19">
        <v>0</v>
      </c>
      <c r="M106" s="33"/>
      <c r="N106" s="20">
        <v>5</v>
      </c>
      <c r="O106" s="20">
        <f t="shared" si="26"/>
        <v>0</v>
      </c>
      <c r="P106" s="19">
        <v>0</v>
      </c>
      <c r="Q106" s="19">
        <v>0</v>
      </c>
      <c r="R106" s="21"/>
      <c r="S106" s="20">
        <v>5</v>
      </c>
      <c r="T106" s="20">
        <f t="shared" si="27"/>
        <v>0</v>
      </c>
      <c r="U106" s="19">
        <v>0</v>
      </c>
      <c r="V106" s="19">
        <v>0</v>
      </c>
      <c r="W106" s="21"/>
      <c r="X106" s="20">
        <v>5</v>
      </c>
      <c r="Y106" s="20">
        <f t="shared" si="28"/>
        <v>0</v>
      </c>
      <c r="Z106" s="19">
        <v>0</v>
      </c>
      <c r="AA106" s="19">
        <v>0</v>
      </c>
      <c r="AB106" s="21"/>
    </row>
    <row r="107" spans="2:28" x14ac:dyDescent="0.2">
      <c r="B107" s="2"/>
      <c r="C107" s="1"/>
      <c r="D107" s="19" t="s">
        <v>16</v>
      </c>
      <c r="E107" s="19">
        <f>SUM(P110,K110)</f>
        <v>0</v>
      </c>
      <c r="F107" s="19">
        <f>SUM(Q110,L110)</f>
        <v>92</v>
      </c>
      <c r="G107" s="19">
        <f>SUM(E107:F107)</f>
        <v>92</v>
      </c>
      <c r="H107" s="21"/>
      <c r="I107" s="20">
        <v>6</v>
      </c>
      <c r="J107" s="20">
        <f t="shared" si="25"/>
        <v>0</v>
      </c>
      <c r="K107" s="19">
        <v>0</v>
      </c>
      <c r="L107" s="19">
        <v>0</v>
      </c>
      <c r="M107" s="33"/>
      <c r="N107" s="20">
        <v>6</v>
      </c>
      <c r="O107" s="20">
        <f t="shared" si="26"/>
        <v>0</v>
      </c>
      <c r="P107" s="19">
        <v>0</v>
      </c>
      <c r="Q107" s="19">
        <v>0</v>
      </c>
      <c r="R107" s="21"/>
      <c r="S107" s="20">
        <v>6</v>
      </c>
      <c r="T107" s="20">
        <f t="shared" si="27"/>
        <v>0</v>
      </c>
      <c r="U107" s="19">
        <v>0</v>
      </c>
      <c r="V107" s="19">
        <v>0</v>
      </c>
      <c r="W107" s="21"/>
      <c r="X107" s="20">
        <v>6</v>
      </c>
      <c r="Y107" s="20">
        <f t="shared" si="28"/>
        <v>0</v>
      </c>
      <c r="Z107" s="19">
        <v>0</v>
      </c>
      <c r="AA107" s="19">
        <v>0</v>
      </c>
      <c r="AB107" s="21"/>
    </row>
    <row r="108" spans="2:28" x14ac:dyDescent="0.2">
      <c r="B108" s="2"/>
      <c r="C108" s="1"/>
      <c r="D108" s="19" t="s">
        <v>17</v>
      </c>
      <c r="E108" s="19">
        <v>0</v>
      </c>
      <c r="F108" s="19">
        <v>68</v>
      </c>
      <c r="G108" s="19">
        <f>SUM(E108:F108)</f>
        <v>68</v>
      </c>
      <c r="H108" s="21"/>
      <c r="I108" s="20">
        <v>7</v>
      </c>
      <c r="J108" s="20">
        <f t="shared" si="25"/>
        <v>0</v>
      </c>
      <c r="K108" s="19">
        <v>0</v>
      </c>
      <c r="L108" s="19">
        <v>0</v>
      </c>
      <c r="M108" s="33"/>
      <c r="N108" s="20">
        <v>7</v>
      </c>
      <c r="O108" s="20">
        <f t="shared" si="26"/>
        <v>0</v>
      </c>
      <c r="P108" s="19">
        <v>0</v>
      </c>
      <c r="Q108" s="19">
        <v>0</v>
      </c>
      <c r="R108" s="21"/>
      <c r="S108" s="20">
        <v>7</v>
      </c>
      <c r="T108" s="20">
        <f t="shared" si="27"/>
        <v>0</v>
      </c>
      <c r="U108" s="19">
        <v>0</v>
      </c>
      <c r="V108" s="19">
        <v>0</v>
      </c>
      <c r="W108" s="21"/>
      <c r="X108" s="20">
        <v>7</v>
      </c>
      <c r="Y108" s="20">
        <f t="shared" si="28"/>
        <v>0</v>
      </c>
      <c r="Z108" s="19">
        <v>0</v>
      </c>
      <c r="AA108" s="19">
        <v>0</v>
      </c>
      <c r="AB108" s="21"/>
    </row>
    <row r="109" spans="2:28" x14ac:dyDescent="0.2">
      <c r="B109" s="2"/>
      <c r="C109" s="1"/>
      <c r="D109" s="19" t="s">
        <v>40</v>
      </c>
      <c r="E109" s="22"/>
      <c r="F109" s="22">
        <f>MIN(F107,F108)/MAX(F107,F108)</f>
        <v>0.73913043478260865</v>
      </c>
      <c r="G109" s="22">
        <f>MIN(G107,G108)/MAX(G107,G108)</f>
        <v>0.73913043478260865</v>
      </c>
      <c r="H109" s="21"/>
      <c r="I109" s="19" t="s">
        <v>10</v>
      </c>
      <c r="J109" s="20">
        <f t="shared" si="25"/>
        <v>1</v>
      </c>
      <c r="K109" s="19">
        <v>0</v>
      </c>
      <c r="L109" s="19">
        <v>1</v>
      </c>
      <c r="M109" s="33"/>
      <c r="N109" s="19" t="s">
        <v>10</v>
      </c>
      <c r="O109" s="20">
        <f t="shared" si="26"/>
        <v>1</v>
      </c>
      <c r="P109" s="19">
        <v>0</v>
      </c>
      <c r="Q109" s="19">
        <v>1</v>
      </c>
      <c r="R109" s="21"/>
      <c r="S109" s="19" t="s">
        <v>10</v>
      </c>
      <c r="T109" s="20">
        <f t="shared" si="27"/>
        <v>4</v>
      </c>
      <c r="U109" s="19">
        <v>0</v>
      </c>
      <c r="V109" s="19">
        <v>4</v>
      </c>
      <c r="W109" s="21"/>
      <c r="X109" s="19" t="s">
        <v>10</v>
      </c>
      <c r="Y109" s="20">
        <f t="shared" si="28"/>
        <v>0</v>
      </c>
      <c r="Z109" s="19">
        <v>0</v>
      </c>
      <c r="AA109" s="19">
        <v>0</v>
      </c>
      <c r="AB109" s="21"/>
    </row>
    <row r="110" spans="2:28" x14ac:dyDescent="0.2">
      <c r="B110" s="2"/>
      <c r="C110" s="1"/>
      <c r="D110" s="38"/>
      <c r="E110" s="38"/>
      <c r="F110" s="38"/>
      <c r="G110" s="38"/>
      <c r="I110" s="19" t="s">
        <v>13</v>
      </c>
      <c r="J110" s="19">
        <f>(SUM(J102:J109))</f>
        <v>61</v>
      </c>
      <c r="K110" s="19">
        <f>(SUM(K102:K109))</f>
        <v>0</v>
      </c>
      <c r="L110" s="19">
        <f>(SUM(L102:L109))</f>
        <v>61</v>
      </c>
      <c r="M110" s="33"/>
      <c r="N110" s="19" t="s">
        <v>13</v>
      </c>
      <c r="O110" s="19">
        <f>(SUM(O102:O109))</f>
        <v>31</v>
      </c>
      <c r="P110" s="19">
        <f>(SUM(P102:P109))</f>
        <v>0</v>
      </c>
      <c r="Q110" s="19">
        <f>(SUM(Q102:Q109))</f>
        <v>31</v>
      </c>
      <c r="R110" s="21"/>
      <c r="S110" s="19" t="s">
        <v>13</v>
      </c>
      <c r="T110" s="19">
        <f>(SUM(T102:T109))</f>
        <v>25</v>
      </c>
      <c r="U110" s="19">
        <f>(SUM(U102:U109))</f>
        <v>0</v>
      </c>
      <c r="V110" s="19">
        <f>(SUM(V102:V109))</f>
        <v>25</v>
      </c>
      <c r="W110" s="21"/>
      <c r="X110" s="19" t="s">
        <v>13</v>
      </c>
      <c r="Y110" s="19">
        <f>(SUM(Y102:Y109))</f>
        <v>12</v>
      </c>
      <c r="Z110" s="19">
        <f>(SUM(Z102:Z109))</f>
        <v>0</v>
      </c>
      <c r="AA110" s="19">
        <f>(SUM(AA102:AA109))</f>
        <v>12</v>
      </c>
      <c r="AB110" s="21"/>
    </row>
    <row r="111" spans="2:28" x14ac:dyDescent="0.2">
      <c r="B111" s="2"/>
      <c r="C111" s="1"/>
      <c r="I111" s="38"/>
      <c r="J111" s="38"/>
      <c r="K111" s="38"/>
      <c r="L111" s="38"/>
      <c r="M111" s="1"/>
      <c r="N111" s="38"/>
      <c r="O111" s="38"/>
      <c r="P111" s="38"/>
      <c r="Q111" s="38"/>
      <c r="S111" s="38"/>
      <c r="T111" s="38"/>
      <c r="U111" s="38"/>
      <c r="V111" s="38"/>
      <c r="X111" s="38"/>
      <c r="Y111" s="38"/>
      <c r="Z111" s="38"/>
      <c r="AA111" s="38"/>
    </row>
    <row r="112" spans="2:28" ht="16" x14ac:dyDescent="0.2">
      <c r="B112" s="2"/>
      <c r="C112" s="1"/>
      <c r="I112" s="17" t="s">
        <v>77</v>
      </c>
      <c r="J112" s="17">
        <v>4</v>
      </c>
      <c r="K112" s="17" t="s">
        <v>12</v>
      </c>
      <c r="L112" s="17" t="s">
        <v>14</v>
      </c>
      <c r="M112" s="1"/>
    </row>
    <row r="113" spans="1:27" x14ac:dyDescent="0.2">
      <c r="B113" s="2"/>
      <c r="C113" s="1"/>
      <c r="I113" s="16" t="s">
        <v>11</v>
      </c>
      <c r="J113" s="34" t="s">
        <v>8</v>
      </c>
      <c r="K113" s="16"/>
      <c r="L113" s="16"/>
      <c r="M113" s="1"/>
    </row>
    <row r="114" spans="1:27" ht="16" x14ac:dyDescent="0.2">
      <c r="B114" s="2"/>
      <c r="C114" s="1"/>
      <c r="I114" s="17" t="s">
        <v>9</v>
      </c>
      <c r="J114" s="17" t="s">
        <v>66</v>
      </c>
      <c r="K114" s="17" t="s">
        <v>60</v>
      </c>
      <c r="L114" s="17" t="s">
        <v>62</v>
      </c>
      <c r="M114" s="1"/>
    </row>
    <row r="115" spans="1:27" x14ac:dyDescent="0.2">
      <c r="B115" s="2"/>
      <c r="C115" s="1"/>
      <c r="I115" s="17">
        <v>1</v>
      </c>
      <c r="J115" s="17">
        <f>SUM(K115,L115)</f>
        <v>0</v>
      </c>
      <c r="K115" s="17">
        <v>0</v>
      </c>
      <c r="L115" s="17">
        <v>0</v>
      </c>
      <c r="M115" s="1"/>
    </row>
    <row r="116" spans="1:27" x14ac:dyDescent="0.2">
      <c r="B116" s="2"/>
      <c r="C116" s="1"/>
      <c r="I116" s="16">
        <v>2</v>
      </c>
      <c r="J116" s="17">
        <f t="shared" ref="J116:J122" si="29">SUM(K116,L116)</f>
        <v>3</v>
      </c>
      <c r="K116" s="16">
        <v>0</v>
      </c>
      <c r="L116" s="16">
        <v>3</v>
      </c>
      <c r="M116" s="1"/>
    </row>
    <row r="117" spans="1:27" x14ac:dyDescent="0.2">
      <c r="B117" s="2"/>
      <c r="C117" s="1"/>
      <c r="I117" s="16">
        <v>3</v>
      </c>
      <c r="J117" s="17">
        <f t="shared" si="29"/>
        <v>3</v>
      </c>
      <c r="K117" s="16">
        <v>0</v>
      </c>
      <c r="L117" s="16">
        <v>3</v>
      </c>
      <c r="M117" s="1"/>
    </row>
    <row r="118" spans="1:27" x14ac:dyDescent="0.2">
      <c r="B118" s="2"/>
      <c r="C118" s="1"/>
      <c r="I118" s="17">
        <v>4</v>
      </c>
      <c r="J118" s="17">
        <f t="shared" si="29"/>
        <v>3</v>
      </c>
      <c r="K118" s="16">
        <v>0</v>
      </c>
      <c r="L118" s="16">
        <v>3</v>
      </c>
      <c r="M118" s="1"/>
    </row>
    <row r="119" spans="1:27" x14ac:dyDescent="0.2">
      <c r="B119" s="2"/>
      <c r="C119" s="1"/>
      <c r="I119" s="17">
        <v>5</v>
      </c>
      <c r="J119" s="17">
        <f t="shared" si="29"/>
        <v>0</v>
      </c>
      <c r="K119" s="16">
        <v>0</v>
      </c>
      <c r="L119" s="16">
        <v>0</v>
      </c>
      <c r="M119" s="1"/>
    </row>
    <row r="120" spans="1:27" x14ac:dyDescent="0.2">
      <c r="B120" s="2"/>
      <c r="C120" s="1"/>
      <c r="I120" s="17">
        <v>6</v>
      </c>
      <c r="J120" s="17">
        <f t="shared" si="29"/>
        <v>0</v>
      </c>
      <c r="K120" s="16">
        <v>0</v>
      </c>
      <c r="L120" s="16">
        <v>0</v>
      </c>
      <c r="M120" s="1"/>
    </row>
    <row r="121" spans="1:27" ht="17" customHeight="1" x14ac:dyDescent="0.2">
      <c r="B121" s="2"/>
      <c r="C121" s="1"/>
      <c r="I121" s="17">
        <v>7</v>
      </c>
      <c r="J121" s="17">
        <f t="shared" si="29"/>
        <v>0</v>
      </c>
      <c r="K121" s="16">
        <v>0</v>
      </c>
      <c r="L121" s="16">
        <v>0</v>
      </c>
      <c r="M121" s="1"/>
    </row>
    <row r="122" spans="1:27" x14ac:dyDescent="0.2">
      <c r="B122" s="2"/>
      <c r="C122" s="1"/>
      <c r="I122" s="16" t="s">
        <v>10</v>
      </c>
      <c r="J122" s="17">
        <f t="shared" si="29"/>
        <v>0</v>
      </c>
      <c r="K122" s="16">
        <v>0</v>
      </c>
      <c r="L122" s="16">
        <v>0</v>
      </c>
      <c r="M122" s="1"/>
    </row>
    <row r="123" spans="1:27" x14ac:dyDescent="0.2">
      <c r="B123" s="2"/>
      <c r="C123" s="1"/>
      <c r="I123" s="16" t="s">
        <v>13</v>
      </c>
      <c r="J123" s="16">
        <f>(SUM(J115:J122))</f>
        <v>9</v>
      </c>
      <c r="K123" s="16">
        <f>(SUM(K115:K122))</f>
        <v>0</v>
      </c>
      <c r="L123" s="16">
        <f>(SUM(L115:L122))</f>
        <v>9</v>
      </c>
      <c r="M123" s="1"/>
    </row>
    <row r="124" spans="1:27" x14ac:dyDescent="0.2">
      <c r="B124" s="2"/>
      <c r="C124" s="1"/>
      <c r="M124" s="1"/>
    </row>
    <row r="125" spans="1:27" x14ac:dyDescent="0.2">
      <c r="B125" s="2"/>
      <c r="C125" s="1"/>
      <c r="D125" s="1"/>
      <c r="E125" s="1"/>
      <c r="F125" s="1"/>
      <c r="G125" s="1"/>
      <c r="H125" s="1"/>
      <c r="I125" s="1"/>
      <c r="J125" s="1"/>
      <c r="K125" s="1"/>
      <c r="L125" s="1"/>
      <c r="M125" s="1"/>
    </row>
    <row r="126" spans="1:27" ht="16" x14ac:dyDescent="0.2">
      <c r="A126" s="1" t="s">
        <v>31</v>
      </c>
      <c r="B126" s="2">
        <v>31</v>
      </c>
      <c r="C126" s="1"/>
      <c r="I126" s="20" t="s">
        <v>77</v>
      </c>
      <c r="J126" s="20">
        <v>1</v>
      </c>
      <c r="K126" s="20" t="s">
        <v>12</v>
      </c>
      <c r="L126" s="20" t="s">
        <v>15</v>
      </c>
      <c r="M126" s="33"/>
      <c r="N126" s="20" t="s">
        <v>77</v>
      </c>
      <c r="O126" s="20">
        <v>2</v>
      </c>
      <c r="P126" s="20" t="s">
        <v>12</v>
      </c>
      <c r="Q126" s="20" t="s">
        <v>14</v>
      </c>
      <c r="R126" s="21"/>
      <c r="S126" s="20" t="s">
        <v>77</v>
      </c>
      <c r="T126" s="20">
        <v>3</v>
      </c>
      <c r="U126" s="20" t="s">
        <v>12</v>
      </c>
      <c r="V126" s="20" t="s">
        <v>14</v>
      </c>
      <c r="W126" s="21"/>
      <c r="X126" s="1"/>
      <c r="Y126" s="1"/>
      <c r="Z126" s="1"/>
      <c r="AA126" s="1"/>
    </row>
    <row r="127" spans="1:27" x14ac:dyDescent="0.2">
      <c r="B127" s="2"/>
      <c r="C127" s="1"/>
      <c r="I127" s="19" t="s">
        <v>11</v>
      </c>
      <c r="J127" s="35" t="s">
        <v>5</v>
      </c>
      <c r="K127" s="19"/>
      <c r="L127" s="19"/>
      <c r="M127" s="33"/>
      <c r="N127" s="19" t="s">
        <v>11</v>
      </c>
      <c r="O127" s="35" t="s">
        <v>7</v>
      </c>
      <c r="P127" s="19"/>
      <c r="Q127" s="19"/>
      <c r="R127" s="21"/>
      <c r="S127" s="19" t="s">
        <v>11</v>
      </c>
      <c r="T127" s="35" t="s">
        <v>6</v>
      </c>
      <c r="U127" s="19"/>
      <c r="V127" s="19"/>
      <c r="W127" s="21"/>
    </row>
    <row r="128" spans="1:27" ht="16" x14ac:dyDescent="0.2">
      <c r="B128" s="2"/>
      <c r="C128" s="1"/>
      <c r="D128" s="19"/>
      <c r="E128" s="19" t="s">
        <v>60</v>
      </c>
      <c r="F128" s="20" t="s">
        <v>61</v>
      </c>
      <c r="G128" s="19" t="s">
        <v>43</v>
      </c>
      <c r="H128" s="21"/>
      <c r="I128" s="20" t="s">
        <v>9</v>
      </c>
      <c r="J128" s="20" t="s">
        <v>66</v>
      </c>
      <c r="K128" s="20" t="s">
        <v>60</v>
      </c>
      <c r="L128" s="20" t="s">
        <v>62</v>
      </c>
      <c r="M128" s="33"/>
      <c r="N128" s="20" t="s">
        <v>9</v>
      </c>
      <c r="O128" s="20" t="s">
        <v>66</v>
      </c>
      <c r="P128" s="20" t="s">
        <v>60</v>
      </c>
      <c r="Q128" s="20" t="s">
        <v>62</v>
      </c>
      <c r="R128" s="21"/>
      <c r="S128" s="20" t="s">
        <v>9</v>
      </c>
      <c r="T128" s="20" t="s">
        <v>66</v>
      </c>
      <c r="U128" s="20" t="s">
        <v>60</v>
      </c>
      <c r="V128" s="20" t="s">
        <v>62</v>
      </c>
      <c r="W128" s="21"/>
      <c r="X128" s="1"/>
      <c r="Y128" s="1"/>
      <c r="Z128" s="1"/>
      <c r="AA128" s="1"/>
    </row>
    <row r="129" spans="2:27" x14ac:dyDescent="0.2">
      <c r="B129" s="2"/>
      <c r="C129" s="1"/>
      <c r="D129" s="19" t="s">
        <v>16</v>
      </c>
      <c r="E129" s="19">
        <f>SUM(K137,P137,U137,Z137,AE137,AJ125,AO125)</f>
        <v>55</v>
      </c>
      <c r="F129" s="19">
        <f>SUM(L137,Q137,V137,AA137,AF137,AK125,AP125)</f>
        <v>24</v>
      </c>
      <c r="G129" s="19">
        <f>SUM(E129:F129)</f>
        <v>79</v>
      </c>
      <c r="H129" s="21"/>
      <c r="I129" s="20">
        <v>1</v>
      </c>
      <c r="J129" s="20">
        <f>SUM(K129,L129)</f>
        <v>7</v>
      </c>
      <c r="K129" s="20">
        <v>7</v>
      </c>
      <c r="L129" s="20">
        <v>0</v>
      </c>
      <c r="M129" s="33"/>
      <c r="N129" s="20">
        <v>1</v>
      </c>
      <c r="O129" s="20">
        <f>SUM(P129,Q129)</f>
        <v>4</v>
      </c>
      <c r="P129" s="20">
        <v>2</v>
      </c>
      <c r="Q129" s="20">
        <v>2</v>
      </c>
      <c r="R129" s="21"/>
      <c r="S129" s="20">
        <v>1</v>
      </c>
      <c r="T129" s="20">
        <f>SUM(U129,V129)</f>
        <v>2</v>
      </c>
      <c r="U129" s="20">
        <v>2</v>
      </c>
      <c r="V129" s="20">
        <v>0</v>
      </c>
      <c r="W129" s="21"/>
      <c r="X129" s="1"/>
      <c r="Y129" s="1"/>
      <c r="Z129" s="1"/>
      <c r="AA129" s="1"/>
    </row>
    <row r="130" spans="2:27" x14ac:dyDescent="0.2">
      <c r="B130" s="84" t="s">
        <v>67</v>
      </c>
      <c r="C130" s="33"/>
      <c r="D130" s="19" t="s">
        <v>17</v>
      </c>
      <c r="E130" s="19">
        <v>85.5</v>
      </c>
      <c r="F130" s="19">
        <v>10</v>
      </c>
      <c r="G130" s="19">
        <f>SUM(E130:F130)</f>
        <v>95.5</v>
      </c>
      <c r="H130" s="21"/>
      <c r="I130" s="19">
        <v>2</v>
      </c>
      <c r="J130" s="20">
        <f t="shared" ref="J130:J136" si="30">SUM(K130,L130)</f>
        <v>8</v>
      </c>
      <c r="K130" s="19">
        <v>8</v>
      </c>
      <c r="L130" s="19">
        <v>0</v>
      </c>
      <c r="M130" s="33"/>
      <c r="N130" s="19">
        <v>2</v>
      </c>
      <c r="O130" s="20">
        <f t="shared" ref="O130:O136" si="31">SUM(P130,Q130)</f>
        <v>5</v>
      </c>
      <c r="P130" s="19">
        <v>2</v>
      </c>
      <c r="Q130" s="19">
        <v>3</v>
      </c>
      <c r="R130" s="21"/>
      <c r="S130" s="19">
        <v>2</v>
      </c>
      <c r="T130" s="20">
        <f t="shared" ref="T130:T136" si="32">SUM(U130,V130)</f>
        <v>2</v>
      </c>
      <c r="U130" s="19">
        <v>2</v>
      </c>
      <c r="V130" s="19">
        <v>0</v>
      </c>
      <c r="W130" s="21"/>
      <c r="Y130" s="1"/>
    </row>
    <row r="131" spans="2:27" x14ac:dyDescent="0.2">
      <c r="B131" s="84"/>
      <c r="C131" s="33"/>
      <c r="D131" s="19" t="s">
        <v>40</v>
      </c>
      <c r="E131" s="22">
        <f>MIN(E129,E130)/MAX(E129,E130)</f>
        <v>0.64327485380116955</v>
      </c>
      <c r="F131" s="22">
        <f>MIN(F129,F130)/MAX(F129,F130)</f>
        <v>0.41666666666666669</v>
      </c>
      <c r="G131" s="22">
        <f>MIN(G129,G130)/MAX(G129,G130)</f>
        <v>0.82722513089005234</v>
      </c>
      <c r="H131" s="21"/>
      <c r="I131" s="19">
        <v>3</v>
      </c>
      <c r="J131" s="20">
        <f t="shared" si="30"/>
        <v>8</v>
      </c>
      <c r="K131" s="19">
        <v>8</v>
      </c>
      <c r="L131" s="19">
        <v>0</v>
      </c>
      <c r="M131" s="33"/>
      <c r="N131" s="19">
        <v>3</v>
      </c>
      <c r="O131" s="20">
        <f t="shared" si="31"/>
        <v>5</v>
      </c>
      <c r="P131" s="19">
        <v>2</v>
      </c>
      <c r="Q131" s="19">
        <v>3</v>
      </c>
      <c r="R131" s="21"/>
      <c r="S131" s="19">
        <v>3</v>
      </c>
      <c r="T131" s="20">
        <f t="shared" si="32"/>
        <v>2</v>
      </c>
      <c r="U131" s="19">
        <v>2</v>
      </c>
      <c r="V131" s="19">
        <v>0</v>
      </c>
      <c r="W131" s="21"/>
      <c r="Y131" s="1"/>
    </row>
    <row r="132" spans="2:27" x14ac:dyDescent="0.2">
      <c r="B132" s="41"/>
      <c r="C132" s="1"/>
      <c r="D132" s="38"/>
      <c r="E132" s="38"/>
      <c r="F132" s="38"/>
      <c r="G132" s="38"/>
      <c r="I132" s="20">
        <v>4</v>
      </c>
      <c r="J132" s="20">
        <f t="shared" si="30"/>
        <v>8</v>
      </c>
      <c r="K132" s="19">
        <v>4</v>
      </c>
      <c r="L132" s="19">
        <v>4</v>
      </c>
      <c r="M132" s="33"/>
      <c r="N132" s="20">
        <v>4</v>
      </c>
      <c r="O132" s="20">
        <f t="shared" si="31"/>
        <v>7</v>
      </c>
      <c r="P132" s="19">
        <v>2</v>
      </c>
      <c r="Q132" s="19">
        <v>5</v>
      </c>
      <c r="R132" s="21"/>
      <c r="S132" s="20">
        <v>4</v>
      </c>
      <c r="T132" s="20">
        <f t="shared" si="32"/>
        <v>2</v>
      </c>
      <c r="U132" s="19">
        <v>2</v>
      </c>
      <c r="V132" s="19">
        <v>0</v>
      </c>
      <c r="W132" s="21"/>
      <c r="X132" s="1"/>
      <c r="Y132" s="1"/>
    </row>
    <row r="133" spans="2:27" ht="17" customHeight="1" x14ac:dyDescent="0.2">
      <c r="B133" s="2"/>
      <c r="C133" s="1"/>
      <c r="D133" s="19" t="s">
        <v>0</v>
      </c>
      <c r="E133" s="20" t="s">
        <v>63</v>
      </c>
      <c r="F133" s="20" t="s">
        <v>64</v>
      </c>
      <c r="G133" s="19" t="s">
        <v>37</v>
      </c>
      <c r="H133" s="21"/>
      <c r="I133" s="20">
        <v>5</v>
      </c>
      <c r="J133" s="20">
        <f t="shared" si="30"/>
        <v>8</v>
      </c>
      <c r="K133" s="19">
        <v>8</v>
      </c>
      <c r="L133" s="19">
        <v>0</v>
      </c>
      <c r="M133" s="33"/>
      <c r="N133" s="20">
        <v>5</v>
      </c>
      <c r="O133" s="20">
        <f t="shared" si="31"/>
        <v>5</v>
      </c>
      <c r="P133" s="19">
        <v>2</v>
      </c>
      <c r="Q133" s="19">
        <v>3</v>
      </c>
      <c r="R133" s="21"/>
      <c r="S133" s="20">
        <v>5</v>
      </c>
      <c r="T133" s="20">
        <f t="shared" si="32"/>
        <v>2</v>
      </c>
      <c r="U133" s="19">
        <v>2</v>
      </c>
      <c r="V133" s="19">
        <v>0</v>
      </c>
      <c r="W133" s="21"/>
      <c r="X133" s="1"/>
      <c r="Y133" s="1"/>
    </row>
    <row r="134" spans="2:27" x14ac:dyDescent="0.2">
      <c r="B134" s="2"/>
      <c r="C134" s="1"/>
      <c r="D134" s="19" t="s">
        <v>16</v>
      </c>
      <c r="E134" s="19">
        <f>SUM(K137,)</f>
        <v>35</v>
      </c>
      <c r="F134" s="19">
        <f>SUM(L137)</f>
        <v>6</v>
      </c>
      <c r="G134" s="19">
        <f>SUM(E134:F134)</f>
        <v>41</v>
      </c>
      <c r="H134" s="21"/>
      <c r="I134" s="20">
        <v>6</v>
      </c>
      <c r="J134" s="20">
        <f t="shared" si="30"/>
        <v>0</v>
      </c>
      <c r="K134" s="19">
        <v>0</v>
      </c>
      <c r="L134" s="19">
        <v>0</v>
      </c>
      <c r="M134" s="33"/>
      <c r="N134" s="20">
        <v>6</v>
      </c>
      <c r="O134" s="20">
        <f t="shared" si="31"/>
        <v>0</v>
      </c>
      <c r="P134" s="19">
        <v>0</v>
      </c>
      <c r="Q134" s="19">
        <v>0</v>
      </c>
      <c r="R134" s="21"/>
      <c r="S134" s="20">
        <v>6</v>
      </c>
      <c r="T134" s="20">
        <f t="shared" si="32"/>
        <v>0</v>
      </c>
      <c r="U134" s="19">
        <v>0</v>
      </c>
      <c r="V134" s="19">
        <v>0</v>
      </c>
      <c r="W134" s="21"/>
      <c r="X134" s="1"/>
      <c r="Y134" s="1"/>
    </row>
    <row r="135" spans="2:27" x14ac:dyDescent="0.2">
      <c r="B135" s="2"/>
      <c r="C135" s="1"/>
      <c r="D135" s="19" t="s">
        <v>17</v>
      </c>
      <c r="E135" s="19">
        <v>26</v>
      </c>
      <c r="F135" s="19">
        <v>3</v>
      </c>
      <c r="G135" s="19">
        <f>SUM(E135:F135)</f>
        <v>29</v>
      </c>
      <c r="H135" s="21"/>
      <c r="I135" s="20">
        <v>7</v>
      </c>
      <c r="J135" s="20">
        <f t="shared" si="30"/>
        <v>0</v>
      </c>
      <c r="K135" s="19">
        <v>0</v>
      </c>
      <c r="L135" s="19">
        <v>0</v>
      </c>
      <c r="M135" s="33"/>
      <c r="N135" s="20">
        <v>7</v>
      </c>
      <c r="O135" s="20">
        <f t="shared" si="31"/>
        <v>0</v>
      </c>
      <c r="P135" s="19">
        <v>0</v>
      </c>
      <c r="Q135" s="19">
        <v>0</v>
      </c>
      <c r="R135" s="21"/>
      <c r="S135" s="20">
        <v>7</v>
      </c>
      <c r="T135" s="20">
        <f t="shared" si="32"/>
        <v>0</v>
      </c>
      <c r="U135" s="19">
        <v>0</v>
      </c>
      <c r="V135" s="19">
        <v>0</v>
      </c>
      <c r="W135" s="21"/>
      <c r="X135" s="1"/>
      <c r="Y135" s="1"/>
    </row>
    <row r="136" spans="2:27" x14ac:dyDescent="0.2">
      <c r="B136" s="2"/>
      <c r="C136" s="1"/>
      <c r="D136" s="19" t="s">
        <v>40</v>
      </c>
      <c r="E136" s="22">
        <f>MIN(E134,E135)/MAX(E134,E135)</f>
        <v>0.74285714285714288</v>
      </c>
      <c r="F136" s="22">
        <f>MIN(F134,F135)/MAX(F134,F135)</f>
        <v>0.5</v>
      </c>
      <c r="G136" s="22">
        <f>MIN(G134,G135)/MAX(G134,G135)</f>
        <v>0.70731707317073167</v>
      </c>
      <c r="H136" s="21"/>
      <c r="I136" s="19" t="s">
        <v>10</v>
      </c>
      <c r="J136" s="20">
        <f t="shared" si="30"/>
        <v>2</v>
      </c>
      <c r="K136" s="19">
        <v>0</v>
      </c>
      <c r="L136" s="19">
        <v>2</v>
      </c>
      <c r="M136" s="33"/>
      <c r="N136" s="19" t="s">
        <v>10</v>
      </c>
      <c r="O136" s="20">
        <f t="shared" si="31"/>
        <v>1</v>
      </c>
      <c r="P136" s="19">
        <v>0</v>
      </c>
      <c r="Q136" s="19">
        <v>1</v>
      </c>
      <c r="R136" s="21"/>
      <c r="S136" s="19" t="s">
        <v>10</v>
      </c>
      <c r="T136" s="20">
        <f t="shared" si="32"/>
        <v>1</v>
      </c>
      <c r="U136" s="19">
        <v>0</v>
      </c>
      <c r="V136" s="19">
        <v>1</v>
      </c>
      <c r="W136" s="21"/>
      <c r="Y136" s="1"/>
    </row>
    <row r="137" spans="2:27" x14ac:dyDescent="0.2">
      <c r="B137" s="2"/>
      <c r="C137" s="1"/>
      <c r="D137" s="38"/>
      <c r="E137" s="38"/>
      <c r="F137" s="38"/>
      <c r="G137" s="38"/>
      <c r="I137" s="19" t="s">
        <v>13</v>
      </c>
      <c r="J137" s="19">
        <f>(SUM(J129:J136))</f>
        <v>41</v>
      </c>
      <c r="K137" s="19">
        <f>(SUM(K129:K136))</f>
        <v>35</v>
      </c>
      <c r="L137" s="19">
        <f>(SUM(L129:L136))</f>
        <v>6</v>
      </c>
      <c r="M137" s="33"/>
      <c r="N137" s="19" t="s">
        <v>13</v>
      </c>
      <c r="O137" s="19">
        <f>(SUM(O129:O136))</f>
        <v>27</v>
      </c>
      <c r="P137" s="19">
        <f>(SUM(P129:P136))</f>
        <v>10</v>
      </c>
      <c r="Q137" s="19">
        <f>(SUM(Q129:Q136))</f>
        <v>17</v>
      </c>
      <c r="R137" s="21"/>
      <c r="S137" s="19" t="s">
        <v>13</v>
      </c>
      <c r="T137" s="19">
        <f>(SUM(T129:T136))</f>
        <v>11</v>
      </c>
      <c r="U137" s="19">
        <f>(SUM(U129:U136))</f>
        <v>10</v>
      </c>
      <c r="V137" s="19">
        <f>(SUM(V129:V136))</f>
        <v>1</v>
      </c>
      <c r="W137" s="21"/>
    </row>
    <row r="138" spans="2:27" ht="16" thickBot="1" x14ac:dyDescent="0.25">
      <c r="B138" s="2"/>
      <c r="C138" s="1"/>
      <c r="D138" s="1"/>
      <c r="E138" s="1"/>
      <c r="F138" s="1"/>
      <c r="G138" s="1"/>
      <c r="H138" s="1"/>
      <c r="I138" s="39"/>
      <c r="J138" s="39"/>
      <c r="K138" s="39"/>
      <c r="L138" s="39"/>
      <c r="M138" s="1"/>
      <c r="N138" s="38"/>
      <c r="O138" s="38"/>
      <c r="P138" s="38"/>
      <c r="Q138" s="38"/>
      <c r="S138" s="38"/>
      <c r="T138" s="38"/>
      <c r="U138" s="38"/>
      <c r="V138" s="38"/>
    </row>
    <row r="139" spans="2:27" x14ac:dyDescent="0.2">
      <c r="D139" s="81" t="s">
        <v>52</v>
      </c>
      <c r="E139" s="82"/>
      <c r="F139" s="82"/>
      <c r="G139" s="82"/>
      <c r="H139" s="15"/>
      <c r="I139" s="1"/>
      <c r="J139" s="1"/>
      <c r="M139" s="1"/>
      <c r="N139" s="1"/>
      <c r="O139" s="1"/>
      <c r="S139" s="1"/>
      <c r="T139" s="1"/>
      <c r="X139" s="1"/>
      <c r="Y139" s="1"/>
    </row>
    <row r="140" spans="2:27" ht="16" x14ac:dyDescent="0.2">
      <c r="D140" s="18" t="s">
        <v>38</v>
      </c>
      <c r="E140" s="19" t="s">
        <v>60</v>
      </c>
      <c r="F140" s="20" t="s">
        <v>61</v>
      </c>
      <c r="G140" s="19" t="s">
        <v>43</v>
      </c>
      <c r="H140" s="15"/>
      <c r="J140" s="1"/>
      <c r="M140" s="1"/>
      <c r="O140" s="1"/>
      <c r="T140" s="1"/>
      <c r="Y140" s="1"/>
    </row>
    <row r="141" spans="2:27" x14ac:dyDescent="0.2">
      <c r="D141" s="18" t="s">
        <v>16</v>
      </c>
      <c r="E141" s="19">
        <f>SUM(E129,E102,E88,E74,E47,E20,E6)</f>
        <v>224</v>
      </c>
      <c r="F141" s="19">
        <f>SUM(F129,F102,F88,F74,F47,F20,F6)</f>
        <v>1376</v>
      </c>
      <c r="G141" s="19">
        <f>SUM(E141:F141)</f>
        <v>1600</v>
      </c>
      <c r="H141" s="15"/>
      <c r="M141" s="1"/>
    </row>
    <row r="142" spans="2:27" x14ac:dyDescent="0.2">
      <c r="D142" s="18" t="s">
        <v>17</v>
      </c>
      <c r="E142" s="19">
        <f>SUM(E130,E103,E89,E75,E48,E21,E7)</f>
        <v>226.5</v>
      </c>
      <c r="F142" s="19">
        <f>SUM(F130,F103,F89,F75,F48,F21,F7)</f>
        <v>1631</v>
      </c>
      <c r="G142" s="19">
        <f>SUM(E142:F142)</f>
        <v>1857.5</v>
      </c>
      <c r="H142" s="15"/>
    </row>
    <row r="143" spans="2:27" x14ac:dyDescent="0.2">
      <c r="D143" s="18" t="s">
        <v>40</v>
      </c>
      <c r="E143" s="22">
        <f>MIN(E141,E142)/MAX(E141,E142)</f>
        <v>0.98896247240618107</v>
      </c>
      <c r="F143" s="22">
        <f>MIN(F141,F142)/MAX(F141,F142)</f>
        <v>0.84365419987737589</v>
      </c>
      <c r="G143" s="22">
        <f>MIN(G141,G142)/MAX(G141,G142)</f>
        <v>0.8613728129205922</v>
      </c>
      <c r="H143" s="21"/>
    </row>
    <row r="144" spans="2:27" x14ac:dyDescent="0.2">
      <c r="D144" s="18"/>
      <c r="E144" s="19"/>
      <c r="F144" s="19"/>
      <c r="G144" s="19"/>
      <c r="H144" s="15"/>
    </row>
    <row r="145" spans="2:8" ht="16" x14ac:dyDescent="0.2">
      <c r="D145" s="18" t="s">
        <v>39</v>
      </c>
      <c r="E145" s="20" t="s">
        <v>63</v>
      </c>
      <c r="F145" s="20" t="s">
        <v>64</v>
      </c>
      <c r="G145" s="19" t="s">
        <v>37</v>
      </c>
      <c r="H145" s="15"/>
    </row>
    <row r="146" spans="2:8" x14ac:dyDescent="0.2">
      <c r="D146" s="18" t="s">
        <v>16</v>
      </c>
      <c r="E146" s="19">
        <f>SUM(E134,E107,E93,E79,E52,E25,E11)</f>
        <v>79</v>
      </c>
      <c r="F146" s="19">
        <f>SUM(F134,F107,F93,F79,F52,F25,F11)</f>
        <v>756</v>
      </c>
      <c r="G146" s="19">
        <f>SUM(E146:F146)</f>
        <v>835</v>
      </c>
      <c r="H146" s="15"/>
    </row>
    <row r="147" spans="2:8" x14ac:dyDescent="0.2">
      <c r="D147" s="18" t="s">
        <v>17</v>
      </c>
      <c r="E147" s="19">
        <f>SUM(E135,E108,E94,E80,E53,E26,E12)</f>
        <v>68</v>
      </c>
      <c r="F147" s="19">
        <f>SUM(F135,F108,F94,F80,F53,F26,F12)</f>
        <v>686</v>
      </c>
      <c r="G147" s="19">
        <f>SUM(E147:F147)</f>
        <v>754</v>
      </c>
      <c r="H147" s="15"/>
    </row>
    <row r="148" spans="2:8" ht="16" thickBot="1" x14ac:dyDescent="0.25">
      <c r="D148" s="18" t="s">
        <v>40</v>
      </c>
      <c r="E148" s="22">
        <f>MIN(E146,E147)/MAX(E146,E147)</f>
        <v>0.86075949367088611</v>
      </c>
      <c r="F148" s="22">
        <f>MIN(F146,F147)/MAX(F146,F147)</f>
        <v>0.90740740740740744</v>
      </c>
      <c r="G148" s="22">
        <f>MIN(G146,G147)/MAX(G146,G147)</f>
        <v>0.90299401197604789</v>
      </c>
      <c r="H148" s="15"/>
    </row>
    <row r="149" spans="2:8" x14ac:dyDescent="0.2">
      <c r="D149" s="25"/>
      <c r="E149" s="25"/>
      <c r="F149" s="25"/>
      <c r="G149" s="25"/>
    </row>
    <row r="155" spans="2:8" x14ac:dyDescent="0.2">
      <c r="B155" s="8" t="s">
        <v>5</v>
      </c>
      <c r="D155" s="6" t="s">
        <v>14</v>
      </c>
      <c r="E155" s="6">
        <v>1</v>
      </c>
    </row>
    <row r="156" spans="2:8" x14ac:dyDescent="0.2">
      <c r="B156" s="8" t="s">
        <v>6</v>
      </c>
      <c r="D156" s="6" t="s">
        <v>15</v>
      </c>
      <c r="E156" s="6">
        <v>2</v>
      </c>
    </row>
    <row r="157" spans="2:8" x14ac:dyDescent="0.2">
      <c r="B157" s="8" t="s">
        <v>7</v>
      </c>
      <c r="E157" s="6">
        <v>3</v>
      </c>
    </row>
    <row r="158" spans="2:8" x14ac:dyDescent="0.2">
      <c r="B158" s="8" t="s">
        <v>8</v>
      </c>
      <c r="E158" s="6">
        <v>4</v>
      </c>
    </row>
    <row r="159" spans="2:8" x14ac:dyDescent="0.2">
      <c r="E159" s="6">
        <v>5</v>
      </c>
    </row>
    <row r="160" spans="2:8" x14ac:dyDescent="0.2">
      <c r="E160" s="6">
        <v>6</v>
      </c>
    </row>
    <row r="161" spans="5:5" x14ac:dyDescent="0.2">
      <c r="E161" s="6">
        <v>7</v>
      </c>
    </row>
    <row r="162" spans="5:5" x14ac:dyDescent="0.2">
      <c r="E162" s="6">
        <v>8</v>
      </c>
    </row>
    <row r="163" spans="5:5" x14ac:dyDescent="0.2">
      <c r="E163" s="6">
        <v>9</v>
      </c>
    </row>
    <row r="164" spans="5:5" x14ac:dyDescent="0.2">
      <c r="E164" s="6">
        <v>10</v>
      </c>
    </row>
    <row r="165" spans="5:5" x14ac:dyDescent="0.2">
      <c r="E165" s="6">
        <v>11</v>
      </c>
    </row>
    <row r="166" spans="5:5" x14ac:dyDescent="0.2">
      <c r="E166" s="6">
        <v>12</v>
      </c>
    </row>
  </sheetData>
  <mergeCells count="6">
    <mergeCell ref="Z1:AA1"/>
    <mergeCell ref="D139:G139"/>
    <mergeCell ref="B7:B8"/>
    <mergeCell ref="B24:B25"/>
    <mergeCell ref="B48:B49"/>
    <mergeCell ref="B130:B131"/>
  </mergeCells>
  <conditionalFormatting sqref="E8:G8">
    <cfRule type="colorScale" priority="15">
      <colorScale>
        <cfvo type="num" val="0"/>
        <cfvo type="num" val="0.75"/>
        <cfvo type="num" val="1"/>
        <color rgb="FFFF7128"/>
        <color rgb="FFFFEB84"/>
        <color theme="9" tint="-0.249977111117893"/>
      </colorScale>
    </cfRule>
  </conditionalFormatting>
  <conditionalFormatting sqref="E13:G13">
    <cfRule type="colorScale" priority="16">
      <colorScale>
        <cfvo type="num" val="0"/>
        <cfvo type="num" val="0.75"/>
        <cfvo type="num" val="1"/>
        <color rgb="FFFF7128"/>
        <color rgb="FFFFEB84"/>
        <color theme="9" tint="-0.249977111117893"/>
      </colorScale>
    </cfRule>
  </conditionalFormatting>
  <conditionalFormatting sqref="E27:G27">
    <cfRule type="colorScale" priority="5">
      <colorScale>
        <cfvo type="num" val="0"/>
        <cfvo type="num" val="0.75"/>
        <cfvo type="num" val="1"/>
        <color rgb="FFFF7128"/>
        <color rgb="FFFFEB84"/>
        <color theme="9" tint="-0.249977111117893"/>
      </colorScale>
    </cfRule>
  </conditionalFormatting>
  <conditionalFormatting sqref="E49:G49">
    <cfRule type="colorScale" priority="13">
      <colorScale>
        <cfvo type="num" val="0"/>
        <cfvo type="num" val="0.75"/>
        <cfvo type="num" val="1"/>
        <color rgb="FFFF7128"/>
        <color rgb="FFFFEB84"/>
        <color theme="9" tint="-0.249977111117893"/>
      </colorScale>
    </cfRule>
  </conditionalFormatting>
  <conditionalFormatting sqref="E54:G54">
    <cfRule type="colorScale" priority="4">
      <colorScale>
        <cfvo type="num" val="0"/>
        <cfvo type="num" val="0.75"/>
        <cfvo type="num" val="1"/>
        <color rgb="FFFF7128"/>
        <color rgb="FFFFEB84"/>
        <color theme="9" tint="-0.249977111117893"/>
      </colorScale>
    </cfRule>
  </conditionalFormatting>
  <conditionalFormatting sqref="E90:G90">
    <cfRule type="colorScale" priority="11">
      <colorScale>
        <cfvo type="num" val="0"/>
        <cfvo type="num" val="0.75"/>
        <cfvo type="num" val="1"/>
        <color rgb="FFFF7128"/>
        <color rgb="FFFFEB84"/>
        <color theme="9" tint="-0.249977111117893"/>
      </colorScale>
    </cfRule>
  </conditionalFormatting>
  <conditionalFormatting sqref="E95:G95">
    <cfRule type="colorScale" priority="7">
      <colorScale>
        <cfvo type="num" val="0"/>
        <cfvo type="num" val="0.75"/>
        <cfvo type="num" val="1"/>
        <color rgb="FFFF7128"/>
        <color rgb="FFFFEB84"/>
        <color theme="9" tint="-0.249977111117893"/>
      </colorScale>
    </cfRule>
  </conditionalFormatting>
  <conditionalFormatting sqref="E104:G104">
    <cfRule type="colorScale" priority="10">
      <colorScale>
        <cfvo type="num" val="0"/>
        <cfvo type="num" val="0.75"/>
        <cfvo type="num" val="1"/>
        <color rgb="FFFF7128"/>
        <color rgb="FFFFEB84"/>
        <color theme="9" tint="-0.249977111117893"/>
      </colorScale>
    </cfRule>
  </conditionalFormatting>
  <conditionalFormatting sqref="E131:G131">
    <cfRule type="colorScale" priority="9">
      <colorScale>
        <cfvo type="num" val="0"/>
        <cfvo type="num" val="0.75"/>
        <cfvo type="num" val="1"/>
        <color rgb="FFFF7128"/>
        <color rgb="FFFFEB84"/>
        <color theme="9" tint="-0.249977111117893"/>
      </colorScale>
    </cfRule>
  </conditionalFormatting>
  <conditionalFormatting sqref="E136:G136">
    <cfRule type="colorScale" priority="3">
      <colorScale>
        <cfvo type="num" val="0"/>
        <cfvo type="num" val="0.75"/>
        <cfvo type="num" val="1"/>
        <color rgb="FFFF7128"/>
        <color rgb="FFFFEB84"/>
        <color theme="9" tint="-0.249977111117893"/>
      </colorScale>
    </cfRule>
  </conditionalFormatting>
  <conditionalFormatting sqref="E143:G143">
    <cfRule type="colorScale" priority="2">
      <colorScale>
        <cfvo type="num" val="0"/>
        <cfvo type="num" val="0.75"/>
        <cfvo type="num" val="1"/>
        <color rgb="FFFF7128"/>
        <color rgb="FFFFEB84"/>
        <color theme="9" tint="-0.249977111117893"/>
      </colorScale>
    </cfRule>
  </conditionalFormatting>
  <conditionalFormatting sqref="E148:G148">
    <cfRule type="colorScale" priority="1">
      <colorScale>
        <cfvo type="num" val="0"/>
        <cfvo type="num" val="0.75"/>
        <cfvo type="num" val="1"/>
        <color rgb="FFFF7128"/>
        <color rgb="FFFFEB84"/>
        <color theme="9" tint="-0.249977111117893"/>
      </colorScale>
    </cfRule>
  </conditionalFormatting>
  <conditionalFormatting sqref="F22:G22">
    <cfRule type="colorScale" priority="14">
      <colorScale>
        <cfvo type="num" val="0"/>
        <cfvo type="num" val="0.75"/>
        <cfvo type="num" val="1"/>
        <color rgb="FFFF7128"/>
        <color rgb="FFFFEB84"/>
        <color theme="9" tint="-0.249977111117893"/>
      </colorScale>
    </cfRule>
  </conditionalFormatting>
  <conditionalFormatting sqref="F76:G76">
    <cfRule type="colorScale" priority="12">
      <colorScale>
        <cfvo type="num" val="0"/>
        <cfvo type="num" val="0.75"/>
        <cfvo type="num" val="1"/>
        <color rgb="FFFF7128"/>
        <color rgb="FFFFEB84"/>
        <color theme="9" tint="-0.249977111117893"/>
      </colorScale>
    </cfRule>
  </conditionalFormatting>
  <conditionalFormatting sqref="F81:G81">
    <cfRule type="colorScale" priority="8">
      <colorScale>
        <cfvo type="num" val="0"/>
        <cfvo type="num" val="0.75"/>
        <cfvo type="num" val="1"/>
        <color rgb="FFFF7128"/>
        <color rgb="FFFFEB84"/>
        <color theme="9" tint="-0.249977111117893"/>
      </colorScale>
    </cfRule>
  </conditionalFormatting>
  <conditionalFormatting sqref="F109:G109">
    <cfRule type="colorScale" priority="6">
      <colorScale>
        <cfvo type="num" val="0"/>
        <cfvo type="num" val="0.75"/>
        <cfvo type="num" val="1"/>
        <color rgb="FFFF7128"/>
        <color rgb="FFFFEB84"/>
        <color theme="9" tint="-0.249977111117893"/>
      </colorScale>
    </cfRule>
  </conditionalFormatting>
  <dataValidations count="3">
    <dataValidation type="list" allowBlank="1" showInputMessage="1" showErrorMessage="1" sqref="Y17 J3 O3 T3 Y3 J44 O44 T44 Y44 J17 O17 T17 J71 O71 T71 Y71 J85 O85 T85 Y85 J99 O99 T99 Y99 J126 O126 T126 Y126 J30 O30 J57 O57 T57 J112" xr:uid="{FA704DA9-031E-134D-B55B-FFBBEAFC1BD6}">
      <formula1>$E$155:$E$166</formula1>
    </dataValidation>
    <dataValidation type="list" allowBlank="1" showInputMessage="1" showErrorMessage="1" sqref="AA17 L3 Q3 V3 AA3 L44 Q44 V44 AA44 L17 Q17 V17 L71 Q71 V71 AA71 L85 Q85 V85 AA85 L99 Q99 V99 AA99 L126 Q126 V126 AA126 L30 Q30 L57 Q57 V57 L112" xr:uid="{B9B9A5D4-CC5C-EF46-B301-9BD7CD1A12E2}">
      <formula1>$D$155:$D$156</formula1>
    </dataValidation>
    <dataValidation type="list" allowBlank="1" showInputMessage="1" showErrorMessage="1" sqref="J18 Y4 T4 O4 J4 Y45 T45 O45 J45 Y18 T18 O18 Y72 T72 O72 J72 Y86 T86 O86 J86 Y100 T100 O100 J100 Y127 T127 O127 J127 J31 O31 J58 O58 T58 J113" xr:uid="{45397AD5-8EC1-3D48-9347-4D81AAE10C36}">
      <formula1>$B$155:$B$158</formula1>
    </dataValidation>
  </dataValidations>
  <pageMargins left="0.7" right="0.7" top="0.78740157499999996" bottom="0.78740157499999996" header="0.3" footer="0.3"/>
  <pageSetup paperSize="9" scale="32"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69D25-F5F2-D544-856F-37D68670C07E}">
  <sheetPr>
    <pageSetUpPr fitToPage="1"/>
  </sheetPr>
  <dimension ref="A1:J44"/>
  <sheetViews>
    <sheetView zoomScale="85" zoomScaleNormal="85" workbookViewId="0">
      <selection activeCell="S14" sqref="S14"/>
    </sheetView>
  </sheetViews>
  <sheetFormatPr baseColWidth="10" defaultRowHeight="15" x14ac:dyDescent="0.2"/>
  <cols>
    <col min="1" max="1" width="14.1640625" style="6" customWidth="1"/>
    <col min="2" max="5" width="10.83203125" style="6"/>
    <col min="6" max="6" width="14.5" style="6" customWidth="1"/>
    <col min="7" max="9" width="10.83203125" style="6"/>
    <col min="10" max="10" width="1.1640625" style="6" customWidth="1"/>
    <col min="11" max="16384" width="10.83203125" style="6"/>
  </cols>
  <sheetData>
    <row r="1" spans="1:10" x14ac:dyDescent="0.2">
      <c r="A1" s="81" t="s">
        <v>53</v>
      </c>
      <c r="B1" s="82"/>
      <c r="C1" s="82"/>
      <c r="D1" s="82"/>
      <c r="E1" s="15"/>
      <c r="F1" s="81" t="s">
        <v>78</v>
      </c>
      <c r="G1" s="82"/>
      <c r="H1" s="82"/>
      <c r="I1" s="82"/>
      <c r="J1" s="15"/>
    </row>
    <row r="2" spans="1:10" ht="16" x14ac:dyDescent="0.2">
      <c r="A2" s="18" t="s">
        <v>38</v>
      </c>
      <c r="B2" s="19" t="s">
        <v>60</v>
      </c>
      <c r="C2" s="20" t="s">
        <v>61</v>
      </c>
      <c r="D2" s="19" t="s">
        <v>43</v>
      </c>
      <c r="E2" s="15"/>
      <c r="F2" s="18" t="s">
        <v>38</v>
      </c>
      <c r="G2" s="19" t="s">
        <v>60</v>
      </c>
      <c r="H2" s="20" t="s">
        <v>61</v>
      </c>
      <c r="I2" s="19" t="s">
        <v>43</v>
      </c>
      <c r="J2" s="15"/>
    </row>
    <row r="3" spans="1:10" x14ac:dyDescent="0.2">
      <c r="A3" s="18" t="s">
        <v>16</v>
      </c>
      <c r="B3" s="19">
        <v>150</v>
      </c>
      <c r="C3" s="19">
        <v>657</v>
      </c>
      <c r="D3" s="19">
        <v>807</v>
      </c>
      <c r="E3" s="15"/>
      <c r="F3" s="18" t="s">
        <v>16</v>
      </c>
      <c r="G3" s="19">
        <v>0</v>
      </c>
      <c r="H3" s="19">
        <v>969</v>
      </c>
      <c r="I3" s="19">
        <v>969</v>
      </c>
      <c r="J3" s="15"/>
    </row>
    <row r="4" spans="1:10" x14ac:dyDescent="0.2">
      <c r="A4" s="18" t="s">
        <v>17</v>
      </c>
      <c r="B4" s="19">
        <v>273</v>
      </c>
      <c r="C4" s="19">
        <v>736.4</v>
      </c>
      <c r="D4" s="19">
        <v>1009.4</v>
      </c>
      <c r="E4" s="15"/>
      <c r="F4" s="18" t="s">
        <v>17</v>
      </c>
      <c r="G4" s="19">
        <v>0</v>
      </c>
      <c r="H4" s="19">
        <v>1138.3</v>
      </c>
      <c r="I4" s="19">
        <v>1138.3</v>
      </c>
      <c r="J4" s="15"/>
    </row>
    <row r="5" spans="1:10" x14ac:dyDescent="0.2">
      <c r="A5" s="18" t="s">
        <v>40</v>
      </c>
      <c r="B5" s="22">
        <v>0.5494505494505495</v>
      </c>
      <c r="C5" s="22">
        <v>0.89217816404128192</v>
      </c>
      <c r="D5" s="22">
        <v>0.79948484248068163</v>
      </c>
      <c r="E5" s="15"/>
      <c r="F5" s="18" t="s">
        <v>40</v>
      </c>
      <c r="G5" s="22"/>
      <c r="H5" s="22">
        <v>0.85126943687955725</v>
      </c>
      <c r="I5" s="22">
        <v>0.85126943687955725</v>
      </c>
      <c r="J5" s="21"/>
    </row>
    <row r="6" spans="1:10" x14ac:dyDescent="0.2">
      <c r="A6" s="18"/>
      <c r="B6" s="19"/>
      <c r="C6" s="19"/>
      <c r="D6" s="19"/>
      <c r="E6" s="15"/>
      <c r="F6" s="18"/>
      <c r="G6" s="19"/>
      <c r="H6" s="19"/>
      <c r="I6" s="19"/>
      <c r="J6" s="15"/>
    </row>
    <row r="7" spans="1:10" ht="32" x14ac:dyDescent="0.2">
      <c r="A7" s="18" t="s">
        <v>39</v>
      </c>
      <c r="B7" s="20" t="s">
        <v>63</v>
      </c>
      <c r="C7" s="20" t="s">
        <v>64</v>
      </c>
      <c r="D7" s="19" t="s">
        <v>37</v>
      </c>
      <c r="E7" s="15"/>
      <c r="F7" s="18" t="s">
        <v>39</v>
      </c>
      <c r="G7" s="20" t="s">
        <v>63</v>
      </c>
      <c r="H7" s="20" t="s">
        <v>64</v>
      </c>
      <c r="I7" s="19" t="s">
        <v>37</v>
      </c>
      <c r="J7" s="15"/>
    </row>
    <row r="8" spans="1:10" x14ac:dyDescent="0.2">
      <c r="A8" s="18" t="s">
        <v>16</v>
      </c>
      <c r="B8" s="19">
        <v>116</v>
      </c>
      <c r="C8" s="19">
        <v>452</v>
      </c>
      <c r="D8" s="19">
        <v>568</v>
      </c>
      <c r="E8" s="15"/>
      <c r="F8" s="18" t="s">
        <v>16</v>
      </c>
      <c r="G8" s="19">
        <v>0</v>
      </c>
      <c r="H8" s="19">
        <v>570</v>
      </c>
      <c r="I8" s="19">
        <v>570</v>
      </c>
      <c r="J8" s="15"/>
    </row>
    <row r="9" spans="1:10" x14ac:dyDescent="0.2">
      <c r="A9" s="18" t="s">
        <v>17</v>
      </c>
      <c r="B9" s="19">
        <v>113</v>
      </c>
      <c r="C9" s="19">
        <v>377</v>
      </c>
      <c r="D9" s="19">
        <v>490</v>
      </c>
      <c r="E9" s="15"/>
      <c r="F9" s="18" t="s">
        <v>17</v>
      </c>
      <c r="G9" s="19">
        <v>0</v>
      </c>
      <c r="H9" s="19">
        <v>593</v>
      </c>
      <c r="I9" s="19">
        <v>593</v>
      </c>
      <c r="J9" s="15"/>
    </row>
    <row r="10" spans="1:10" ht="16" thickBot="1" x14ac:dyDescent="0.25">
      <c r="A10" s="18" t="s">
        <v>40</v>
      </c>
      <c r="B10" s="22">
        <v>0.97413793103448276</v>
      </c>
      <c r="C10" s="22">
        <v>0.83407079646017701</v>
      </c>
      <c r="D10" s="22">
        <v>0.86267605633802813</v>
      </c>
      <c r="E10" s="15"/>
      <c r="F10" s="18" t="s">
        <v>40</v>
      </c>
      <c r="G10" s="22"/>
      <c r="H10" s="22">
        <v>0.96121416526138281</v>
      </c>
      <c r="I10" s="22">
        <v>0.96121416526138281</v>
      </c>
      <c r="J10" s="15"/>
    </row>
    <row r="11" spans="1:10" ht="16" thickBot="1" x14ac:dyDescent="0.25">
      <c r="A11" s="25"/>
      <c r="B11" s="25"/>
      <c r="C11" s="25"/>
      <c r="D11" s="25"/>
      <c r="F11" s="25"/>
      <c r="G11" s="25"/>
      <c r="H11" s="25"/>
      <c r="I11" s="25"/>
    </row>
    <row r="12" spans="1:10" x14ac:dyDescent="0.2">
      <c r="A12" s="81" t="s">
        <v>54</v>
      </c>
      <c r="B12" s="82"/>
      <c r="C12" s="82"/>
      <c r="D12" s="82"/>
      <c r="E12" s="15"/>
      <c r="F12" s="81" t="s">
        <v>55</v>
      </c>
      <c r="G12" s="82"/>
      <c r="H12" s="82"/>
      <c r="I12" s="82"/>
      <c r="J12" s="15"/>
    </row>
    <row r="13" spans="1:10" ht="16" x14ac:dyDescent="0.2">
      <c r="A13" s="18" t="s">
        <v>38</v>
      </c>
      <c r="B13" s="19" t="s">
        <v>60</v>
      </c>
      <c r="C13" s="20" t="s">
        <v>61</v>
      </c>
      <c r="D13" s="19" t="s">
        <v>43</v>
      </c>
      <c r="E13" s="15"/>
      <c r="F13" s="18" t="s">
        <v>38</v>
      </c>
      <c r="G13" s="19" t="s">
        <v>60</v>
      </c>
      <c r="H13" s="20" t="s">
        <v>61</v>
      </c>
      <c r="I13" s="19" t="s">
        <v>43</v>
      </c>
      <c r="J13" s="15"/>
    </row>
    <row r="14" spans="1:10" x14ac:dyDescent="0.2">
      <c r="A14" s="18" t="s">
        <v>16</v>
      </c>
      <c r="B14" s="19">
        <v>56</v>
      </c>
      <c r="C14" s="19">
        <v>290</v>
      </c>
      <c r="D14" s="19">
        <v>346</v>
      </c>
      <c r="E14" s="15"/>
      <c r="F14" s="18" t="s">
        <v>16</v>
      </c>
      <c r="G14" s="19">
        <v>28</v>
      </c>
      <c r="H14" s="19">
        <v>502</v>
      </c>
      <c r="I14" s="19">
        <v>530</v>
      </c>
      <c r="J14" s="15"/>
    </row>
    <row r="15" spans="1:10" x14ac:dyDescent="0.2">
      <c r="A15" s="18" t="s">
        <v>17</v>
      </c>
      <c r="B15" s="19">
        <v>31</v>
      </c>
      <c r="C15" s="19">
        <v>283</v>
      </c>
      <c r="D15" s="19">
        <v>314</v>
      </c>
      <c r="E15" s="15"/>
      <c r="F15" s="18" t="s">
        <v>17</v>
      </c>
      <c r="G15" s="19">
        <v>53</v>
      </c>
      <c r="H15" s="19">
        <v>511.3</v>
      </c>
      <c r="I15" s="19">
        <v>564.29999999999995</v>
      </c>
      <c r="J15" s="15"/>
    </row>
    <row r="16" spans="1:10" x14ac:dyDescent="0.2">
      <c r="A16" s="18" t="s">
        <v>40</v>
      </c>
      <c r="B16" s="22">
        <v>0.5535714285714286</v>
      </c>
      <c r="C16" s="22">
        <v>0.97586206896551719</v>
      </c>
      <c r="D16" s="22">
        <v>0.90751445086705207</v>
      </c>
      <c r="E16" s="21"/>
      <c r="F16" s="18" t="s">
        <v>40</v>
      </c>
      <c r="G16" s="22">
        <v>0.52830188679245282</v>
      </c>
      <c r="H16" s="22">
        <v>0.98181106982202226</v>
      </c>
      <c r="I16" s="22">
        <v>0.93921672869041295</v>
      </c>
      <c r="J16" s="21"/>
    </row>
    <row r="17" spans="1:10" x14ac:dyDescent="0.2">
      <c r="A17" s="18"/>
      <c r="B17" s="19"/>
      <c r="C17" s="19"/>
      <c r="D17" s="19"/>
      <c r="E17" s="15"/>
      <c r="F17" s="18"/>
      <c r="G17" s="19"/>
      <c r="H17" s="19"/>
      <c r="I17" s="19"/>
      <c r="J17" s="15"/>
    </row>
    <row r="18" spans="1:10" ht="32" x14ac:dyDescent="0.2">
      <c r="A18" s="18" t="s">
        <v>39</v>
      </c>
      <c r="B18" s="20" t="s">
        <v>63</v>
      </c>
      <c r="C18" s="20" t="s">
        <v>64</v>
      </c>
      <c r="D18" s="19" t="s">
        <v>37</v>
      </c>
      <c r="E18" s="15"/>
      <c r="F18" s="18" t="s">
        <v>39</v>
      </c>
      <c r="G18" s="20" t="s">
        <v>63</v>
      </c>
      <c r="H18" s="20" t="s">
        <v>64</v>
      </c>
      <c r="I18" s="19" t="s">
        <v>37</v>
      </c>
      <c r="J18" s="15"/>
    </row>
    <row r="19" spans="1:10" x14ac:dyDescent="0.2">
      <c r="A19" s="18" t="s">
        <v>16</v>
      </c>
      <c r="B19" s="19">
        <v>37</v>
      </c>
      <c r="C19" s="19">
        <v>175</v>
      </c>
      <c r="D19" s="19">
        <v>212</v>
      </c>
      <c r="E19" s="15"/>
      <c r="F19" s="18" t="s">
        <v>16</v>
      </c>
      <c r="G19" s="19">
        <v>27</v>
      </c>
      <c r="H19" s="19">
        <v>280</v>
      </c>
      <c r="I19" s="19">
        <v>307</v>
      </c>
      <c r="J19" s="15"/>
    </row>
    <row r="20" spans="1:10" x14ac:dyDescent="0.2">
      <c r="A20" s="18" t="s">
        <v>17</v>
      </c>
      <c r="B20" s="19">
        <v>19</v>
      </c>
      <c r="C20" s="19">
        <v>191</v>
      </c>
      <c r="D20" s="19">
        <v>210</v>
      </c>
      <c r="E20" s="15"/>
      <c r="F20" s="18" t="s">
        <v>17</v>
      </c>
      <c r="G20" s="19">
        <v>24</v>
      </c>
      <c r="H20" s="19">
        <v>248</v>
      </c>
      <c r="I20" s="19">
        <v>272</v>
      </c>
      <c r="J20" s="15"/>
    </row>
    <row r="21" spans="1:10" ht="16" thickBot="1" x14ac:dyDescent="0.25">
      <c r="A21" s="18" t="s">
        <v>40</v>
      </c>
      <c r="B21" s="22">
        <v>0.51351351351351349</v>
      </c>
      <c r="C21" s="22">
        <v>0.91623036649214662</v>
      </c>
      <c r="D21" s="22">
        <v>0.99056603773584906</v>
      </c>
      <c r="E21" s="15"/>
      <c r="F21" s="18" t="s">
        <v>40</v>
      </c>
      <c r="G21" s="22">
        <v>0.88888888888888884</v>
      </c>
      <c r="H21" s="22">
        <v>0.88571428571428568</v>
      </c>
      <c r="I21" s="22">
        <v>0.88599348534201949</v>
      </c>
      <c r="J21" s="15"/>
    </row>
    <row r="22" spans="1:10" ht="16" thickBot="1" x14ac:dyDescent="0.25">
      <c r="A22" s="25"/>
      <c r="B22" s="25"/>
      <c r="C22" s="25"/>
      <c r="D22" s="25"/>
      <c r="F22" s="25"/>
      <c r="G22" s="25"/>
      <c r="H22" s="25"/>
      <c r="I22" s="25"/>
    </row>
    <row r="23" spans="1:10" x14ac:dyDescent="0.2">
      <c r="A23" s="81" t="s">
        <v>50</v>
      </c>
      <c r="B23" s="82"/>
      <c r="C23" s="82"/>
      <c r="D23" s="82"/>
      <c r="E23" s="15"/>
      <c r="F23" s="81" t="s">
        <v>51</v>
      </c>
      <c r="G23" s="82"/>
      <c r="H23" s="82"/>
      <c r="I23" s="82"/>
      <c r="J23" s="15"/>
    </row>
    <row r="24" spans="1:10" ht="16" x14ac:dyDescent="0.2">
      <c r="A24" s="18" t="s">
        <v>38</v>
      </c>
      <c r="B24" s="19" t="s">
        <v>60</v>
      </c>
      <c r="C24" s="20" t="s">
        <v>61</v>
      </c>
      <c r="D24" s="19" t="s">
        <v>43</v>
      </c>
      <c r="E24" s="15"/>
      <c r="F24" s="18" t="s">
        <v>38</v>
      </c>
      <c r="G24" s="19" t="s">
        <v>60</v>
      </c>
      <c r="H24" s="20" t="s">
        <v>61</v>
      </c>
      <c r="I24" s="19" t="s">
        <v>43</v>
      </c>
      <c r="J24" s="15"/>
    </row>
    <row r="25" spans="1:10" x14ac:dyDescent="0.2">
      <c r="A25" s="18" t="s">
        <v>16</v>
      </c>
      <c r="B25" s="19">
        <v>113</v>
      </c>
      <c r="C25" s="19">
        <v>538</v>
      </c>
      <c r="D25" s="19">
        <v>651</v>
      </c>
      <c r="E25" s="15"/>
      <c r="F25" s="18" t="s">
        <v>16</v>
      </c>
      <c r="G25" s="19">
        <v>259</v>
      </c>
      <c r="H25" s="19">
        <v>431</v>
      </c>
      <c r="I25" s="19">
        <v>690</v>
      </c>
      <c r="J25" s="15"/>
    </row>
    <row r="26" spans="1:10" x14ac:dyDescent="0.2">
      <c r="A26" s="18" t="s">
        <v>17</v>
      </c>
      <c r="B26" s="19">
        <v>175.9</v>
      </c>
      <c r="C26" s="19">
        <v>844.6</v>
      </c>
      <c r="D26" s="19">
        <v>1020.5</v>
      </c>
      <c r="E26" s="15"/>
      <c r="F26" s="18" t="s">
        <v>17</v>
      </c>
      <c r="G26" s="19">
        <v>110</v>
      </c>
      <c r="H26" s="19">
        <v>416.8</v>
      </c>
      <c r="I26" s="19">
        <v>526.79999999999995</v>
      </c>
      <c r="J26" s="15"/>
    </row>
    <row r="27" spans="1:10" x14ac:dyDescent="0.2">
      <c r="A27" s="18" t="s">
        <v>40</v>
      </c>
      <c r="B27" s="22">
        <v>0.64241046048891415</v>
      </c>
      <c r="C27" s="22">
        <v>0.63698792327729103</v>
      </c>
      <c r="D27" s="22">
        <v>0.63792258696717297</v>
      </c>
      <c r="E27" s="21"/>
      <c r="F27" s="18" t="s">
        <v>40</v>
      </c>
      <c r="G27" s="22">
        <v>0.42471042471042469</v>
      </c>
      <c r="H27" s="22">
        <v>0.96705336426914157</v>
      </c>
      <c r="I27" s="22">
        <v>0.76347826086956516</v>
      </c>
      <c r="J27" s="21"/>
    </row>
    <row r="28" spans="1:10" x14ac:dyDescent="0.2">
      <c r="A28" s="18"/>
      <c r="B28" s="19"/>
      <c r="C28" s="19"/>
      <c r="D28" s="19"/>
      <c r="E28" s="15"/>
      <c r="F28" s="18"/>
      <c r="G28" s="19"/>
      <c r="H28" s="19"/>
      <c r="I28" s="19"/>
      <c r="J28" s="15"/>
    </row>
    <row r="29" spans="1:10" ht="32" x14ac:dyDescent="0.2">
      <c r="A29" s="18" t="s">
        <v>39</v>
      </c>
      <c r="B29" s="20" t="s">
        <v>63</v>
      </c>
      <c r="C29" s="20" t="s">
        <v>64</v>
      </c>
      <c r="D29" s="19" t="s">
        <v>37</v>
      </c>
      <c r="E29" s="15"/>
      <c r="F29" s="18" t="s">
        <v>39</v>
      </c>
      <c r="G29" s="20" t="s">
        <v>63</v>
      </c>
      <c r="H29" s="20" t="s">
        <v>64</v>
      </c>
      <c r="I29" s="19" t="s">
        <v>37</v>
      </c>
      <c r="J29" s="15"/>
    </row>
    <row r="30" spans="1:10" x14ac:dyDescent="0.2">
      <c r="A30" s="18" t="s">
        <v>16</v>
      </c>
      <c r="B30" s="19">
        <v>67</v>
      </c>
      <c r="C30" s="19">
        <v>375</v>
      </c>
      <c r="D30" s="19">
        <v>442</v>
      </c>
      <c r="E30" s="15"/>
      <c r="F30" s="18" t="s">
        <v>16</v>
      </c>
      <c r="G30" s="19">
        <v>169</v>
      </c>
      <c r="H30" s="19">
        <v>227</v>
      </c>
      <c r="I30" s="19">
        <v>396</v>
      </c>
      <c r="J30" s="15"/>
    </row>
    <row r="31" spans="1:10" x14ac:dyDescent="0.2">
      <c r="A31" s="18" t="s">
        <v>17</v>
      </c>
      <c r="B31" s="19">
        <v>87</v>
      </c>
      <c r="C31" s="19">
        <v>438</v>
      </c>
      <c r="D31" s="19">
        <v>525</v>
      </c>
      <c r="E31" s="15"/>
      <c r="F31" s="18" t="s">
        <v>17</v>
      </c>
      <c r="G31" s="19">
        <v>93</v>
      </c>
      <c r="H31" s="19">
        <v>262</v>
      </c>
      <c r="I31" s="19">
        <v>355</v>
      </c>
      <c r="J31" s="15"/>
    </row>
    <row r="32" spans="1:10" ht="16" thickBot="1" x14ac:dyDescent="0.25">
      <c r="A32" s="18" t="s">
        <v>40</v>
      </c>
      <c r="B32" s="22">
        <v>0.77011494252873558</v>
      </c>
      <c r="C32" s="22">
        <v>0.85616438356164382</v>
      </c>
      <c r="D32" s="22">
        <v>0.84190476190476193</v>
      </c>
      <c r="E32" s="15"/>
      <c r="F32" s="18" t="s">
        <v>40</v>
      </c>
      <c r="G32" s="22">
        <v>0.55029585798816572</v>
      </c>
      <c r="H32" s="22">
        <v>0.86641221374045807</v>
      </c>
      <c r="I32" s="22">
        <v>0.89646464646464652</v>
      </c>
      <c r="J32" s="15"/>
    </row>
    <row r="33" spans="1:10" ht="16" thickBot="1" x14ac:dyDescent="0.25">
      <c r="A33" s="25"/>
      <c r="B33" s="25"/>
      <c r="C33" s="25"/>
      <c r="D33" s="25"/>
      <c r="F33" s="25"/>
      <c r="G33" s="25"/>
      <c r="H33" s="25"/>
      <c r="I33" s="25"/>
    </row>
    <row r="34" spans="1:10" ht="16" thickTop="1" x14ac:dyDescent="0.2">
      <c r="A34" s="81" t="s">
        <v>52</v>
      </c>
      <c r="B34" s="82"/>
      <c r="C34" s="82"/>
      <c r="D34" s="82"/>
      <c r="E34" s="15"/>
      <c r="F34" s="90" t="s">
        <v>56</v>
      </c>
      <c r="G34" s="91"/>
      <c r="H34" s="91"/>
      <c r="I34" s="91"/>
      <c r="J34" s="26"/>
    </row>
    <row r="35" spans="1:10" ht="16" x14ac:dyDescent="0.2">
      <c r="A35" s="18" t="s">
        <v>38</v>
      </c>
      <c r="B35" s="19" t="s">
        <v>60</v>
      </c>
      <c r="C35" s="20" t="s">
        <v>61</v>
      </c>
      <c r="D35" s="19" t="s">
        <v>43</v>
      </c>
      <c r="E35" s="15"/>
      <c r="F35" s="28" t="s">
        <v>38</v>
      </c>
      <c r="G35" s="19" t="s">
        <v>60</v>
      </c>
      <c r="H35" s="20" t="s">
        <v>61</v>
      </c>
      <c r="I35" s="19" t="s">
        <v>43</v>
      </c>
      <c r="J35" s="26"/>
    </row>
    <row r="36" spans="1:10" x14ac:dyDescent="0.2">
      <c r="A36" s="18" t="s">
        <v>16</v>
      </c>
      <c r="B36" s="19">
        <v>224</v>
      </c>
      <c r="C36" s="19">
        <v>1376</v>
      </c>
      <c r="D36" s="19">
        <v>1600</v>
      </c>
      <c r="E36" s="15"/>
      <c r="F36" s="28" t="s">
        <v>16</v>
      </c>
      <c r="G36" s="19">
        <f>SUM(B3,G3,B14,G14,B25,G25,B36)</f>
        <v>830</v>
      </c>
      <c r="H36" s="19">
        <f>SUM(C3,H3,C14,H14,C25,H25,C36)</f>
        <v>4763</v>
      </c>
      <c r="I36" s="19">
        <f>SUM(G36:H36)</f>
        <v>5593</v>
      </c>
      <c r="J36" s="26"/>
    </row>
    <row r="37" spans="1:10" x14ac:dyDescent="0.2">
      <c r="A37" s="18" t="s">
        <v>17</v>
      </c>
      <c r="B37" s="19">
        <v>226.5</v>
      </c>
      <c r="C37" s="19">
        <v>1631</v>
      </c>
      <c r="D37" s="19">
        <v>1857.5</v>
      </c>
      <c r="E37" s="15"/>
      <c r="F37" s="28" t="s">
        <v>17</v>
      </c>
      <c r="G37" s="19">
        <f>SUM(B4,G4,B15,G15,B26,G26,B37)</f>
        <v>869.4</v>
      </c>
      <c r="H37" s="19">
        <f>SUM(C4,H4,C15,H15,C26,H26,C37)</f>
        <v>5561.4</v>
      </c>
      <c r="I37" s="19">
        <f>SUM(G37:H37)</f>
        <v>6430.7999999999993</v>
      </c>
      <c r="J37" s="26"/>
    </row>
    <row r="38" spans="1:10" x14ac:dyDescent="0.2">
      <c r="A38" s="18" t="s">
        <v>40</v>
      </c>
      <c r="B38" s="22">
        <v>0.98896247240618107</v>
      </c>
      <c r="C38" s="22">
        <v>0.84365419987737589</v>
      </c>
      <c r="D38" s="22">
        <v>0.8613728129205922</v>
      </c>
      <c r="E38" s="21"/>
      <c r="F38" s="28" t="s">
        <v>40</v>
      </c>
      <c r="G38" s="22">
        <f>MIN(G36:G37)/MAX(G36,G37)</f>
        <v>0.95468138946399816</v>
      </c>
      <c r="H38" s="22">
        <f>MIN(H36:H37)/MAX(H36,H37)</f>
        <v>0.85643902614449607</v>
      </c>
      <c r="I38" s="22">
        <f t="shared" ref="I38" si="0">MIN(I36:I37)/MAX(I36,I37)</f>
        <v>0.86972071903962189</v>
      </c>
      <c r="J38" s="26"/>
    </row>
    <row r="39" spans="1:10" x14ac:dyDescent="0.2">
      <c r="A39" s="18"/>
      <c r="B39" s="19"/>
      <c r="C39" s="19"/>
      <c r="D39" s="19"/>
      <c r="E39" s="15"/>
      <c r="F39" s="28"/>
      <c r="G39" s="19"/>
      <c r="H39" s="19"/>
      <c r="I39" s="19"/>
      <c r="J39" s="26"/>
    </row>
    <row r="40" spans="1:10" ht="32" x14ac:dyDescent="0.2">
      <c r="A40" s="18" t="s">
        <v>39</v>
      </c>
      <c r="B40" s="20" t="s">
        <v>63</v>
      </c>
      <c r="C40" s="20" t="s">
        <v>64</v>
      </c>
      <c r="D40" s="19" t="s">
        <v>37</v>
      </c>
      <c r="E40" s="15"/>
      <c r="F40" s="28" t="s">
        <v>39</v>
      </c>
      <c r="G40" s="20" t="s">
        <v>63</v>
      </c>
      <c r="H40" s="20" t="s">
        <v>64</v>
      </c>
      <c r="I40" s="19" t="s">
        <v>37</v>
      </c>
      <c r="J40" s="26"/>
    </row>
    <row r="41" spans="1:10" x14ac:dyDescent="0.2">
      <c r="A41" s="18" t="s">
        <v>16</v>
      </c>
      <c r="B41" s="19">
        <v>79</v>
      </c>
      <c r="C41" s="19">
        <v>756</v>
      </c>
      <c r="D41" s="19">
        <v>835</v>
      </c>
      <c r="E41" s="15"/>
      <c r="F41" s="28" t="s">
        <v>16</v>
      </c>
      <c r="G41" s="19">
        <f>SUM(B8,G8,B19,G19,B30,G30,B41)</f>
        <v>495</v>
      </c>
      <c r="H41" s="19">
        <f>SUM(C8,H8,C19,H19,C30,H30,C41)</f>
        <v>2835</v>
      </c>
      <c r="I41" s="19">
        <f>SUM(G41:H41)</f>
        <v>3330</v>
      </c>
      <c r="J41" s="26"/>
    </row>
    <row r="42" spans="1:10" x14ac:dyDescent="0.2">
      <c r="A42" s="18" t="s">
        <v>17</v>
      </c>
      <c r="B42" s="19">
        <v>68</v>
      </c>
      <c r="C42" s="19">
        <v>686</v>
      </c>
      <c r="D42" s="19">
        <v>754</v>
      </c>
      <c r="E42" s="15"/>
      <c r="F42" s="28" t="s">
        <v>17</v>
      </c>
      <c r="G42" s="19">
        <f>SUM(B9,G9,B20,G20,B31,G31,B42)</f>
        <v>404</v>
      </c>
      <c r="H42" s="19">
        <f>SUM(C9,H9,C20,H20,C31,H31,C42)</f>
        <v>2795</v>
      </c>
      <c r="I42" s="19">
        <f>SUM(G42:H42)</f>
        <v>3199</v>
      </c>
      <c r="J42" s="26"/>
    </row>
    <row r="43" spans="1:10" ht="16" thickBot="1" x14ac:dyDescent="0.25">
      <c r="A43" s="23" t="s">
        <v>40</v>
      </c>
      <c r="B43" s="24">
        <v>0.86075949367088611</v>
      </c>
      <c r="C43" s="24">
        <v>0.90740740740740744</v>
      </c>
      <c r="D43" s="24">
        <v>0.90299401197604789</v>
      </c>
      <c r="E43" s="15"/>
      <c r="F43" s="30" t="s">
        <v>40</v>
      </c>
      <c r="G43" s="31">
        <f>MIN(G41:G42)/MAX(G41,G42)</f>
        <v>0.8161616161616162</v>
      </c>
      <c r="H43" s="31">
        <f>MIN(H41:H42)/MAX(H41,H42)</f>
        <v>0.98589065255731922</v>
      </c>
      <c r="I43" s="31">
        <f t="shared" ref="I43" si="1">MIN(I41:I42)/MAX(I41,I42)</f>
        <v>0.96066066066066069</v>
      </c>
      <c r="J43" s="26"/>
    </row>
    <row r="44" spans="1:10" ht="4" customHeight="1" x14ac:dyDescent="0.2"/>
  </sheetData>
  <mergeCells count="8">
    <mergeCell ref="A34:D34"/>
    <mergeCell ref="F34:I34"/>
    <mergeCell ref="A1:D1"/>
    <mergeCell ref="F1:I1"/>
    <mergeCell ref="A12:D12"/>
    <mergeCell ref="F12:I12"/>
    <mergeCell ref="A23:D23"/>
    <mergeCell ref="F23:I23"/>
  </mergeCells>
  <conditionalFormatting sqref="B5:D5">
    <cfRule type="colorScale" priority="25">
      <colorScale>
        <cfvo type="num" val="0"/>
        <cfvo type="num" val="0.75"/>
        <cfvo type="num" val="1"/>
        <color rgb="FFFF7128"/>
        <color rgb="FFFFEB84"/>
        <color theme="9" tint="-0.249977111117893"/>
      </colorScale>
    </cfRule>
  </conditionalFormatting>
  <conditionalFormatting sqref="B10:D10">
    <cfRule type="colorScale" priority="24">
      <colorScale>
        <cfvo type="num" val="0"/>
        <cfvo type="num" val="0.75"/>
        <cfvo type="num" val="1"/>
        <color rgb="FFFF7128"/>
        <color rgb="FFFFEB84"/>
        <color theme="9" tint="-0.249977111117893"/>
      </colorScale>
    </cfRule>
  </conditionalFormatting>
  <conditionalFormatting sqref="B16:D16">
    <cfRule type="colorScale" priority="19">
      <colorScale>
        <cfvo type="num" val="0"/>
        <cfvo type="num" val="0.75"/>
        <cfvo type="num" val="1"/>
        <color rgb="FFFF7128"/>
        <color rgb="FFFFEB84"/>
        <color theme="9" tint="-0.249977111117893"/>
      </colorScale>
    </cfRule>
  </conditionalFormatting>
  <conditionalFormatting sqref="B21:D21">
    <cfRule type="colorScale" priority="18">
      <colorScale>
        <cfvo type="num" val="0"/>
        <cfvo type="num" val="0.75"/>
        <cfvo type="num" val="1"/>
        <color rgb="FFFF7128"/>
        <color rgb="FFFFEB84"/>
        <color theme="9" tint="-0.249977111117893"/>
      </colorScale>
    </cfRule>
  </conditionalFormatting>
  <conditionalFormatting sqref="B27:D27">
    <cfRule type="colorScale" priority="11">
      <colorScale>
        <cfvo type="num" val="0"/>
        <cfvo type="num" val="0.75"/>
        <cfvo type="num" val="1"/>
        <color rgb="FFFF7128"/>
        <color rgb="FFFFEB84"/>
        <color theme="9" tint="-0.249977111117893"/>
      </colorScale>
    </cfRule>
  </conditionalFormatting>
  <conditionalFormatting sqref="B32:D32">
    <cfRule type="colorScale" priority="10">
      <colorScale>
        <cfvo type="num" val="0"/>
        <cfvo type="num" val="0.75"/>
        <cfvo type="num" val="1"/>
        <color rgb="FFFF7128"/>
        <color rgb="FFFFEB84"/>
        <color theme="9" tint="-0.249977111117893"/>
      </colorScale>
    </cfRule>
  </conditionalFormatting>
  <conditionalFormatting sqref="B38:D38">
    <cfRule type="colorScale" priority="5">
      <colorScale>
        <cfvo type="num" val="0"/>
        <cfvo type="num" val="0.75"/>
        <cfvo type="num" val="1"/>
        <color rgb="FFFF7128"/>
        <color rgb="FFFFEB84"/>
        <color theme="9" tint="-0.249977111117893"/>
      </colorScale>
    </cfRule>
  </conditionalFormatting>
  <conditionalFormatting sqref="B43:D43">
    <cfRule type="colorScale" priority="4">
      <colorScale>
        <cfvo type="num" val="0"/>
        <cfvo type="num" val="0.75"/>
        <cfvo type="num" val="1"/>
        <color rgb="FFFF7128"/>
        <color rgb="FFFFEB84"/>
        <color theme="9" tint="-0.249977111117893"/>
      </colorScale>
    </cfRule>
  </conditionalFormatting>
  <conditionalFormatting sqref="G5:I5">
    <cfRule type="colorScale" priority="21">
      <colorScale>
        <cfvo type="num" val="0"/>
        <cfvo type="num" val="0.75"/>
        <cfvo type="num" val="1"/>
        <color rgb="FFFF7128"/>
        <color rgb="FFFFEB84"/>
        <color theme="9" tint="-0.249977111117893"/>
      </colorScale>
    </cfRule>
  </conditionalFormatting>
  <conditionalFormatting sqref="G10:I10">
    <cfRule type="colorScale" priority="20">
      <colorScale>
        <cfvo type="num" val="0"/>
        <cfvo type="num" val="0.75"/>
        <cfvo type="num" val="1"/>
        <color rgb="FFFF7128"/>
        <color rgb="FFFFEB84"/>
        <color theme="9" tint="-0.249977111117893"/>
      </colorScale>
    </cfRule>
  </conditionalFormatting>
  <conditionalFormatting sqref="G16:I16">
    <cfRule type="colorScale" priority="15">
      <colorScale>
        <cfvo type="num" val="0"/>
        <cfvo type="num" val="0.75"/>
        <cfvo type="num" val="1"/>
        <color rgb="FFFF7128"/>
        <color rgb="FFFFEB84"/>
        <color theme="9" tint="-0.249977111117893"/>
      </colorScale>
    </cfRule>
  </conditionalFormatting>
  <conditionalFormatting sqref="G21:I21">
    <cfRule type="colorScale" priority="14">
      <colorScale>
        <cfvo type="num" val="0"/>
        <cfvo type="num" val="0.75"/>
        <cfvo type="num" val="1"/>
        <color rgb="FFFF7128"/>
        <color rgb="FFFFEB84"/>
        <color theme="9" tint="-0.249977111117893"/>
      </colorScale>
    </cfRule>
  </conditionalFormatting>
  <conditionalFormatting sqref="G27:I27">
    <cfRule type="colorScale" priority="9">
      <colorScale>
        <cfvo type="num" val="0"/>
        <cfvo type="num" val="0.75"/>
        <cfvo type="num" val="1"/>
        <color rgb="FFFF7128"/>
        <color rgb="FFFFEB84"/>
        <color theme="9" tint="-0.249977111117893"/>
      </colorScale>
    </cfRule>
  </conditionalFormatting>
  <conditionalFormatting sqref="G32:I32">
    <cfRule type="colorScale" priority="8">
      <colorScale>
        <cfvo type="num" val="0"/>
        <cfvo type="num" val="0.75"/>
        <cfvo type="num" val="1"/>
        <color rgb="FFFF7128"/>
        <color rgb="FFFFEB84"/>
        <color theme="9" tint="-0.249977111117893"/>
      </colorScale>
    </cfRule>
  </conditionalFormatting>
  <conditionalFormatting sqref="G38:I38">
    <cfRule type="colorScale" priority="3">
      <colorScale>
        <cfvo type="num" val="0"/>
        <cfvo type="num" val="0.75"/>
        <cfvo type="num" val="1"/>
        <color rgb="FFFF7128"/>
        <color rgb="FFFFEB84"/>
        <color theme="9" tint="-0.249977111117893"/>
      </colorScale>
    </cfRule>
  </conditionalFormatting>
  <conditionalFormatting sqref="G43:I43">
    <cfRule type="colorScale" priority="1">
      <colorScale>
        <cfvo type="num" val="0"/>
        <cfvo type="num" val="0.75"/>
        <cfvo type="num" val="1"/>
        <color rgb="FFFF7128"/>
        <color rgb="FFFFEB84"/>
        <color theme="9" tint="-0.249977111117893"/>
      </colorScale>
    </cfRule>
  </conditionalFormatting>
  <pageMargins left="0.7" right="0.7" top="0.78740157499999996" bottom="0.78740157499999996" header="0.3" footer="0.3"/>
  <pageSetup paperSize="9" scale="77"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D5174-B413-5543-B19B-9E8565510461}">
  <dimension ref="A1:B7"/>
  <sheetViews>
    <sheetView tabSelected="1" zoomScale="176" zoomScaleNormal="176" workbookViewId="0">
      <selection activeCell="L16" sqref="L16"/>
    </sheetView>
  </sheetViews>
  <sheetFormatPr baseColWidth="10" defaultRowHeight="16" x14ac:dyDescent="0.2"/>
  <cols>
    <col min="1" max="1" width="24.33203125" style="75" customWidth="1"/>
  </cols>
  <sheetData>
    <row r="1" spans="1:2" ht="51" x14ac:dyDescent="0.2">
      <c r="A1" s="75" t="s">
        <v>89</v>
      </c>
      <c r="B1">
        <v>11</v>
      </c>
    </row>
    <row r="2" spans="1:2" ht="17" x14ac:dyDescent="0.2">
      <c r="A2" s="75" t="s">
        <v>48</v>
      </c>
      <c r="B2">
        <v>4</v>
      </c>
    </row>
    <row r="3" spans="1:2" ht="17" x14ac:dyDescent="0.2">
      <c r="A3" s="75" t="s">
        <v>49</v>
      </c>
      <c r="B3">
        <v>1</v>
      </c>
    </row>
    <row r="4" spans="1:2" ht="17" x14ac:dyDescent="0.2">
      <c r="A4" s="75" t="s">
        <v>90</v>
      </c>
      <c r="B4">
        <v>3</v>
      </c>
    </row>
    <row r="5" spans="1:2" ht="17" x14ac:dyDescent="0.2">
      <c r="A5" s="75" t="s">
        <v>47</v>
      </c>
      <c r="B5">
        <v>6</v>
      </c>
    </row>
    <row r="6" spans="1:2" ht="17" x14ac:dyDescent="0.2">
      <c r="A6" s="75" t="s">
        <v>91</v>
      </c>
      <c r="B6">
        <v>1</v>
      </c>
    </row>
    <row r="7" spans="1:2" x14ac:dyDescent="0.2">
      <c r="B7">
        <f>SUM(B1:B6)</f>
        <v>26</v>
      </c>
    </row>
  </sheetData>
  <pageMargins left="0.7" right="0.7" top="0.78740157499999996" bottom="0.78740157499999996"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scriptId id="ms-officescript%3A%2F%2Fonedrive_business_itemlink%2F01U5LEPFDBFPYCMZECIBGYC2TXUS2L6AYU:ms-officescript%3A%2F%2Fonedrive_business_sharinglink%2Fu!aHR0cHM6Ly90dXdpZW5hY2F0LW15LnNoYXJlcG9pbnQuY29tLzp1Oi9nL3BlcnNvbmFsL2UxMTgyMDAwOV9zdHVkZW50X3R1d2llbl9hY19hdC9JUUJoS19BbVpJSkFUWUZxZDZTMHZ3TVVBUWs4WmpMN2ItVG9tWjZuLUVSakVmcw"/>
</scriptIds>
</file>

<file path=customXml/itemProps1.xml><?xml version="1.0" encoding="utf-8"?>
<ds:datastoreItem xmlns:ds="http://schemas.openxmlformats.org/officeDocument/2006/customXml" ds:itemID="{FF98427A-45ED-EA46-9471-5AB80495C470}">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9</vt:i4>
      </vt:variant>
      <vt:variant>
        <vt:lpstr>Benannte Bereiche</vt:lpstr>
      </vt:variant>
      <vt:variant>
        <vt:i4>8</vt:i4>
      </vt:variant>
    </vt:vector>
  </HeadingPairs>
  <TitlesOfParts>
    <vt:vector size="17" baseType="lpstr">
      <vt:lpstr>A_Ka-Fe-Ro-Bu</vt:lpstr>
      <vt:lpstr>B_Bu-Ka-Ne-Ro</vt:lpstr>
      <vt:lpstr>C_Va-Bu-Le-Que</vt:lpstr>
      <vt:lpstr>D_Schrö-Le-Si-In</vt:lpstr>
      <vt:lpstr>E_Mu-Co-An-In</vt:lpstr>
      <vt:lpstr>F_Re-Pu-Wa-La</vt:lpstr>
      <vt:lpstr>G_La-La-Ja-Da</vt:lpstr>
      <vt:lpstr>GESAMTBILANZ</vt:lpstr>
      <vt:lpstr>Fehler</vt:lpstr>
      <vt:lpstr>'A_Ka-Fe-Ro-Bu'!Druckbereich</vt:lpstr>
      <vt:lpstr>'B_Bu-Ka-Ne-Ro'!Druckbereich</vt:lpstr>
      <vt:lpstr>'C_Va-Bu-Le-Que'!Druckbereich</vt:lpstr>
      <vt:lpstr>'D_Schrö-Le-Si-In'!Druckbereich</vt:lpstr>
      <vt:lpstr>'E_Mu-Co-An-In'!Druckbereich</vt:lpstr>
      <vt:lpstr>'F_Re-Pu-Wa-La'!Druckbereich</vt:lpstr>
      <vt:lpstr>'G_La-La-Ja-Da'!Druckbereich</vt:lpstr>
      <vt:lpstr>GESAMTBILANZ!Druckbereich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Neugebauerová, Anna</dc:creator>
  <cp:lastModifiedBy>Neugebauerová, Anna</cp:lastModifiedBy>
  <dcterms:created xsi:type="dcterms:W3CDTF">2026-06-25T10:43:44Z</dcterms:created>
  <dcterms:modified xsi:type="dcterms:W3CDTF">2026-10-14T08:57:21Z</dcterms:modified>
</cp:coreProperties>
</file>